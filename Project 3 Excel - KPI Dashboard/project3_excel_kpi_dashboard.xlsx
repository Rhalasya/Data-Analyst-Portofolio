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ysiis porto\project 3 retail-tableau\"/>
    </mc:Choice>
  </mc:AlternateContent>
  <xr:revisionPtr revIDLastSave="0" documentId="8_{1E0B3B83-3060-4960-982C-174D9F7475F5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Raw Data" sheetId="1" r:id="rId1"/>
    <sheet name="Pivot Summary" sheetId="6" r:id="rId2"/>
    <sheet name="Dashboard" sheetId="3" r:id="rId3"/>
    <sheet name="Target KPI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3" l="1"/>
  <c r="H5" i="3"/>
  <c r="F5" i="3"/>
  <c r="D5" i="3"/>
  <c r="B5" i="3"/>
  <c r="K7" i="6"/>
  <c r="K5" i="6"/>
  <c r="K4" i="6"/>
  <c r="K6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4" i="6"/>
  <c r="J17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I85" i="1"/>
  <c r="I152" i="1" a="1"/>
  <c r="I152" i="1" s="1"/>
  <c r="I261" i="1" a="1"/>
  <c r="I261" i="1" s="1"/>
  <c r="I364" i="1"/>
  <c r="I437" i="1"/>
  <c r="I512" i="1" a="1"/>
  <c r="I512" i="1" s="1"/>
  <c r="I557" i="1"/>
  <c r="I600" i="1" a="1"/>
  <c r="I600" i="1" s="1"/>
  <c r="I643" i="1" a="1"/>
  <c r="I643" i="1" s="1"/>
  <c r="H2" i="1"/>
  <c r="I2" i="1" s="1" a="1"/>
  <c r="I2" i="1" s="1"/>
  <c r="H3" i="1"/>
  <c r="I3" i="1" s="1" a="1"/>
  <c r="I3" i="1" s="1"/>
  <c r="H4" i="1"/>
  <c r="I4" i="1" s="1" a="1"/>
  <c r="I4" i="1" s="1"/>
  <c r="H5" i="1"/>
  <c r="I5" i="1" s="1" a="1"/>
  <c r="I5" i="1" s="1"/>
  <c r="H6" i="1"/>
  <c r="I6" i="1" s="1" a="1"/>
  <c r="I6" i="1" s="1"/>
  <c r="H7" i="1"/>
  <c r="I7" i="1" s="1" a="1"/>
  <c r="I7" i="1" s="1"/>
  <c r="H8" i="1"/>
  <c r="I8" i="1" s="1" a="1"/>
  <c r="I8" i="1" s="1"/>
  <c r="H9" i="1"/>
  <c r="I9" i="1" s="1" a="1"/>
  <c r="I9" i="1" s="1"/>
  <c r="H10" i="1"/>
  <c r="I10" i="1" s="1" a="1"/>
  <c r="I10" i="1" s="1"/>
  <c r="H11" i="1"/>
  <c r="I11" i="1" s="1" a="1"/>
  <c r="I11" i="1" s="1"/>
  <c r="H12" i="1"/>
  <c r="I12" i="1" s="1" a="1"/>
  <c r="I12" i="1" s="1"/>
  <c r="H13" i="1"/>
  <c r="I13" i="1" s="1" a="1"/>
  <c r="I13" i="1" s="1"/>
  <c r="H14" i="1"/>
  <c r="I14" i="1" s="1" a="1"/>
  <c r="I14" i="1" s="1"/>
  <c r="H15" i="1"/>
  <c r="I15" i="1" s="1" a="1"/>
  <c r="I15" i="1" s="1"/>
  <c r="H16" i="1"/>
  <c r="I16" i="1" s="1" a="1"/>
  <c r="I16" i="1" s="1"/>
  <c r="H17" i="1"/>
  <c r="I17" i="1" s="1" a="1"/>
  <c r="I17" i="1" s="1"/>
  <c r="H18" i="1"/>
  <c r="I18" i="1" s="1" a="1"/>
  <c r="I18" i="1" s="1"/>
  <c r="H19" i="1"/>
  <c r="I19" i="1" s="1" a="1"/>
  <c r="I19" i="1" s="1"/>
  <c r="H20" i="1"/>
  <c r="I20" i="1" s="1" a="1"/>
  <c r="I20" i="1" s="1"/>
  <c r="H21" i="1"/>
  <c r="I21" i="1" s="1" a="1"/>
  <c r="I21" i="1" s="1"/>
  <c r="H22" i="1"/>
  <c r="I22" i="1" s="1" a="1"/>
  <c r="I22" i="1" s="1"/>
  <c r="H23" i="1"/>
  <c r="I23" i="1" s="1" a="1"/>
  <c r="I23" i="1" s="1"/>
  <c r="H24" i="1"/>
  <c r="I24" i="1" s="1" a="1"/>
  <c r="I24" i="1" s="1"/>
  <c r="H25" i="1"/>
  <c r="I25" i="1" s="1" a="1"/>
  <c r="I25" i="1" s="1"/>
  <c r="H26" i="1"/>
  <c r="I26" i="1" s="1" a="1"/>
  <c r="I26" i="1" s="1"/>
  <c r="H27" i="1"/>
  <c r="I27" i="1" s="1" a="1"/>
  <c r="I27" i="1" s="1"/>
  <c r="H28" i="1"/>
  <c r="I28" i="1" s="1" a="1"/>
  <c r="I28" i="1" s="1"/>
  <c r="H29" i="1"/>
  <c r="I29" i="1" s="1" a="1"/>
  <c r="I29" i="1" s="1"/>
  <c r="H30" i="1"/>
  <c r="I30" i="1" s="1" a="1"/>
  <c r="I30" i="1" s="1"/>
  <c r="H31" i="1"/>
  <c r="I31" i="1" s="1" a="1"/>
  <c r="I31" i="1" s="1"/>
  <c r="H32" i="1"/>
  <c r="I32" i="1" s="1" a="1"/>
  <c r="I32" i="1" s="1"/>
  <c r="H33" i="1"/>
  <c r="I33" i="1" s="1" a="1"/>
  <c r="I33" i="1" s="1"/>
  <c r="H34" i="1"/>
  <c r="I34" i="1" s="1" a="1"/>
  <c r="I34" i="1" s="1"/>
  <c r="H35" i="1"/>
  <c r="I35" i="1" s="1" a="1"/>
  <c r="I35" i="1" s="1"/>
  <c r="H36" i="1"/>
  <c r="I36" i="1" s="1" a="1"/>
  <c r="I36" i="1" s="1"/>
  <c r="H37" i="1"/>
  <c r="I37" i="1" s="1" a="1"/>
  <c r="I37" i="1" s="1"/>
  <c r="H38" i="1"/>
  <c r="I38" i="1" s="1" a="1"/>
  <c r="I38" i="1" s="1"/>
  <c r="H39" i="1"/>
  <c r="I39" i="1" s="1" a="1"/>
  <c r="I39" i="1" s="1"/>
  <c r="H40" i="1"/>
  <c r="I40" i="1" s="1" a="1"/>
  <c r="I40" i="1" s="1"/>
  <c r="H41" i="1"/>
  <c r="I41" i="1" s="1" a="1"/>
  <c r="I41" i="1" s="1"/>
  <c r="H42" i="1"/>
  <c r="I42" i="1" s="1" a="1"/>
  <c r="I42" i="1" s="1"/>
  <c r="H43" i="1"/>
  <c r="I43" i="1" s="1" a="1"/>
  <c r="I43" i="1" s="1"/>
  <c r="H44" i="1"/>
  <c r="I44" i="1" s="1" a="1"/>
  <c r="I44" i="1" s="1"/>
  <c r="H45" i="1"/>
  <c r="I45" i="1" s="1" a="1"/>
  <c r="I45" i="1" s="1"/>
  <c r="H46" i="1"/>
  <c r="I46" i="1" s="1" a="1"/>
  <c r="I46" i="1" s="1"/>
  <c r="H47" i="1"/>
  <c r="I47" i="1" s="1" a="1"/>
  <c r="I47" i="1" s="1"/>
  <c r="H48" i="1"/>
  <c r="I48" i="1" s="1" a="1"/>
  <c r="I48" i="1" s="1"/>
  <c r="H49" i="1"/>
  <c r="I49" i="1" s="1" a="1"/>
  <c r="I49" i="1" s="1"/>
  <c r="H50" i="1"/>
  <c r="I50" i="1" s="1" a="1"/>
  <c r="I50" i="1" s="1"/>
  <c r="H51" i="1"/>
  <c r="I51" i="1" s="1" a="1"/>
  <c r="I51" i="1" s="1"/>
  <c r="H52" i="1"/>
  <c r="I52" i="1" s="1" a="1"/>
  <c r="I52" i="1" s="1"/>
  <c r="H53" i="1"/>
  <c r="I53" i="1" s="1" a="1"/>
  <c r="I53" i="1" s="1"/>
  <c r="H54" i="1"/>
  <c r="I54" i="1" s="1" a="1"/>
  <c r="I54" i="1" s="1"/>
  <c r="H55" i="1"/>
  <c r="I55" i="1" s="1" a="1"/>
  <c r="I55" i="1" s="1"/>
  <c r="H56" i="1"/>
  <c r="I56" i="1" s="1" a="1"/>
  <c r="I56" i="1" s="1"/>
  <c r="H57" i="1"/>
  <c r="I57" i="1" s="1" a="1"/>
  <c r="I57" i="1" s="1"/>
  <c r="H58" i="1"/>
  <c r="I58" i="1" s="1" a="1"/>
  <c r="I58" i="1" s="1"/>
  <c r="H59" i="1"/>
  <c r="I59" i="1" s="1" a="1"/>
  <c r="I59" i="1" s="1"/>
  <c r="H60" i="1"/>
  <c r="I60" i="1" s="1" a="1"/>
  <c r="I60" i="1" s="1"/>
  <c r="H61" i="1"/>
  <c r="I61" i="1" s="1" a="1"/>
  <c r="I61" i="1" s="1"/>
  <c r="H62" i="1"/>
  <c r="I62" i="1" s="1" a="1"/>
  <c r="I62" i="1" s="1"/>
  <c r="H63" i="1"/>
  <c r="I63" i="1" s="1" a="1"/>
  <c r="I63" i="1" s="1"/>
  <c r="H64" i="1"/>
  <c r="I64" i="1" s="1" a="1"/>
  <c r="I64" i="1" s="1"/>
  <c r="H65" i="1"/>
  <c r="I65" i="1" s="1" a="1"/>
  <c r="I65" i="1" s="1"/>
  <c r="H66" i="1"/>
  <c r="I66" i="1" s="1" a="1"/>
  <c r="I66" i="1" s="1"/>
  <c r="H67" i="1"/>
  <c r="I67" i="1" s="1" a="1"/>
  <c r="I67" i="1" s="1"/>
  <c r="H68" i="1"/>
  <c r="I68" i="1" s="1" a="1"/>
  <c r="I68" i="1" s="1"/>
  <c r="H69" i="1"/>
  <c r="I69" i="1" s="1" a="1"/>
  <c r="I69" i="1" s="1"/>
  <c r="H70" i="1"/>
  <c r="I70" i="1" s="1" a="1"/>
  <c r="I70" i="1" s="1"/>
  <c r="H71" i="1"/>
  <c r="I71" i="1" s="1" a="1"/>
  <c r="I71" i="1" s="1"/>
  <c r="H72" i="1"/>
  <c r="I72" i="1" s="1" a="1"/>
  <c r="I72" i="1" s="1"/>
  <c r="H73" i="1"/>
  <c r="I73" i="1" s="1" a="1"/>
  <c r="I73" i="1" s="1"/>
  <c r="H74" i="1"/>
  <c r="I74" i="1" s="1" a="1"/>
  <c r="I74" i="1" s="1"/>
  <c r="H75" i="1"/>
  <c r="I75" i="1" s="1" a="1"/>
  <c r="I75" i="1" s="1"/>
  <c r="H76" i="1"/>
  <c r="I76" i="1" s="1" a="1"/>
  <c r="I76" i="1" s="1"/>
  <c r="H77" i="1"/>
  <c r="I77" i="1" s="1" a="1"/>
  <c r="I77" i="1" s="1"/>
  <c r="H78" i="1"/>
  <c r="I78" i="1" s="1" a="1"/>
  <c r="I78" i="1" s="1"/>
  <c r="H79" i="1"/>
  <c r="I79" i="1" s="1" a="1"/>
  <c r="I79" i="1" s="1"/>
  <c r="H80" i="1"/>
  <c r="I80" i="1" s="1" a="1"/>
  <c r="I80" i="1" s="1"/>
  <c r="H81" i="1"/>
  <c r="I81" i="1" s="1" a="1"/>
  <c r="I81" i="1" s="1"/>
  <c r="H82" i="1"/>
  <c r="I82" i="1" s="1" a="1"/>
  <c r="I82" i="1" s="1"/>
  <c r="H83" i="1"/>
  <c r="I83" i="1" s="1" a="1"/>
  <c r="I83" i="1" s="1"/>
  <c r="H84" i="1"/>
  <c r="I84" i="1" s="1" a="1"/>
  <c r="I84" i="1" s="1"/>
  <c r="H85" i="1"/>
  <c r="I85" i="1" s="1" a="1"/>
  <c r="H86" i="1"/>
  <c r="I86" i="1" s="1" a="1"/>
  <c r="I86" i="1" s="1"/>
  <c r="H87" i="1"/>
  <c r="I87" i="1" s="1" a="1"/>
  <c r="I87" i="1" s="1"/>
  <c r="H88" i="1"/>
  <c r="I88" i="1" s="1" a="1"/>
  <c r="I88" i="1" s="1"/>
  <c r="H89" i="1"/>
  <c r="I89" i="1" s="1" a="1"/>
  <c r="I89" i="1" s="1"/>
  <c r="H90" i="1"/>
  <c r="I90" i="1" s="1" a="1"/>
  <c r="I90" i="1" s="1"/>
  <c r="H91" i="1"/>
  <c r="I91" i="1" s="1" a="1"/>
  <c r="I91" i="1" s="1"/>
  <c r="H92" i="1"/>
  <c r="I92" i="1" s="1" a="1"/>
  <c r="I92" i="1" s="1"/>
  <c r="H93" i="1"/>
  <c r="I93" i="1" s="1" a="1"/>
  <c r="I93" i="1" s="1"/>
  <c r="H94" i="1"/>
  <c r="I94" i="1" s="1" a="1"/>
  <c r="I94" i="1" s="1"/>
  <c r="H95" i="1"/>
  <c r="I95" i="1" s="1" a="1"/>
  <c r="I95" i="1" s="1"/>
  <c r="H96" i="1"/>
  <c r="I96" i="1" s="1" a="1"/>
  <c r="I96" i="1" s="1"/>
  <c r="H97" i="1"/>
  <c r="I97" i="1" s="1" a="1"/>
  <c r="I97" i="1" s="1"/>
  <c r="H98" i="1"/>
  <c r="I98" i="1" s="1" a="1"/>
  <c r="I98" i="1" s="1"/>
  <c r="H99" i="1"/>
  <c r="I99" i="1" s="1" a="1"/>
  <c r="I99" i="1" s="1"/>
  <c r="H100" i="1"/>
  <c r="I100" i="1" s="1" a="1"/>
  <c r="I100" i="1" s="1"/>
  <c r="H101" i="1"/>
  <c r="I101" i="1" s="1" a="1"/>
  <c r="I101" i="1" s="1"/>
  <c r="H102" i="1"/>
  <c r="I102" i="1" s="1" a="1"/>
  <c r="I102" i="1" s="1"/>
  <c r="H103" i="1"/>
  <c r="I103" i="1" s="1" a="1"/>
  <c r="I103" i="1" s="1"/>
  <c r="H104" i="1"/>
  <c r="I104" i="1" s="1" a="1"/>
  <c r="I104" i="1" s="1"/>
  <c r="H105" i="1"/>
  <c r="I105" i="1" s="1" a="1"/>
  <c r="I105" i="1" s="1"/>
  <c r="H106" i="1"/>
  <c r="I106" i="1" s="1" a="1"/>
  <c r="I106" i="1" s="1"/>
  <c r="H107" i="1"/>
  <c r="I107" i="1" s="1" a="1"/>
  <c r="I107" i="1" s="1"/>
  <c r="H108" i="1"/>
  <c r="I108" i="1" s="1" a="1"/>
  <c r="I108" i="1" s="1"/>
  <c r="H109" i="1"/>
  <c r="I109" i="1" s="1" a="1"/>
  <c r="I109" i="1" s="1"/>
  <c r="H110" i="1"/>
  <c r="I110" i="1" s="1" a="1"/>
  <c r="I110" i="1" s="1"/>
  <c r="H111" i="1"/>
  <c r="I111" i="1" s="1" a="1"/>
  <c r="I111" i="1" s="1"/>
  <c r="H112" i="1"/>
  <c r="I112" i="1" s="1" a="1"/>
  <c r="I112" i="1" s="1"/>
  <c r="H113" i="1"/>
  <c r="I113" i="1" s="1" a="1"/>
  <c r="I113" i="1" s="1"/>
  <c r="H114" i="1"/>
  <c r="I114" i="1" s="1" a="1"/>
  <c r="I114" i="1" s="1"/>
  <c r="H115" i="1"/>
  <c r="I115" i="1" s="1" a="1"/>
  <c r="I115" i="1" s="1"/>
  <c r="H116" i="1"/>
  <c r="I116" i="1" s="1" a="1"/>
  <c r="I116" i="1" s="1"/>
  <c r="H117" i="1"/>
  <c r="I117" i="1" s="1" a="1"/>
  <c r="I117" i="1" s="1"/>
  <c r="H118" i="1"/>
  <c r="I118" i="1" s="1" a="1"/>
  <c r="I118" i="1" s="1"/>
  <c r="H119" i="1"/>
  <c r="I119" i="1" s="1" a="1"/>
  <c r="I119" i="1" s="1"/>
  <c r="H120" i="1"/>
  <c r="I120" i="1" s="1" a="1"/>
  <c r="I120" i="1" s="1"/>
  <c r="H121" i="1"/>
  <c r="I121" i="1" s="1" a="1"/>
  <c r="I121" i="1" s="1"/>
  <c r="H122" i="1"/>
  <c r="I122" i="1" s="1" a="1"/>
  <c r="I122" i="1" s="1"/>
  <c r="H123" i="1"/>
  <c r="I123" i="1" s="1" a="1"/>
  <c r="I123" i="1" s="1"/>
  <c r="H124" i="1"/>
  <c r="I124" i="1" s="1" a="1"/>
  <c r="I124" i="1" s="1"/>
  <c r="H125" i="1"/>
  <c r="I125" i="1" s="1" a="1"/>
  <c r="I125" i="1" s="1"/>
  <c r="H126" i="1"/>
  <c r="I126" i="1" s="1" a="1"/>
  <c r="I126" i="1" s="1"/>
  <c r="H127" i="1"/>
  <c r="I127" i="1" s="1" a="1"/>
  <c r="I127" i="1" s="1"/>
  <c r="H128" i="1"/>
  <c r="I128" i="1" s="1" a="1"/>
  <c r="I128" i="1" s="1"/>
  <c r="H129" i="1"/>
  <c r="I129" i="1" s="1" a="1"/>
  <c r="I129" i="1" s="1"/>
  <c r="H130" i="1"/>
  <c r="I130" i="1" s="1" a="1"/>
  <c r="I130" i="1" s="1"/>
  <c r="H131" i="1"/>
  <c r="I131" i="1" s="1" a="1"/>
  <c r="I131" i="1" s="1"/>
  <c r="H132" i="1"/>
  <c r="I132" i="1" s="1" a="1"/>
  <c r="I132" i="1" s="1"/>
  <c r="H133" i="1"/>
  <c r="I133" i="1" s="1" a="1"/>
  <c r="I133" i="1" s="1"/>
  <c r="H134" i="1"/>
  <c r="I134" i="1" s="1" a="1"/>
  <c r="I134" i="1" s="1"/>
  <c r="H135" i="1"/>
  <c r="I135" i="1" s="1" a="1"/>
  <c r="I135" i="1" s="1"/>
  <c r="H136" i="1"/>
  <c r="I136" i="1" s="1" a="1"/>
  <c r="I136" i="1" s="1"/>
  <c r="H137" i="1"/>
  <c r="I137" i="1" s="1" a="1"/>
  <c r="I137" i="1" s="1"/>
  <c r="H138" i="1"/>
  <c r="I138" i="1" s="1" a="1"/>
  <c r="I138" i="1" s="1"/>
  <c r="H139" i="1"/>
  <c r="I139" i="1" s="1" a="1"/>
  <c r="I139" i="1" s="1"/>
  <c r="H140" i="1"/>
  <c r="I140" i="1" s="1" a="1"/>
  <c r="I140" i="1" s="1"/>
  <c r="H141" i="1"/>
  <c r="I141" i="1" s="1" a="1"/>
  <c r="I141" i="1" s="1"/>
  <c r="H142" i="1"/>
  <c r="I142" i="1" s="1" a="1"/>
  <c r="I142" i="1" s="1"/>
  <c r="H143" i="1"/>
  <c r="I143" i="1" s="1" a="1"/>
  <c r="I143" i="1" s="1"/>
  <c r="H144" i="1"/>
  <c r="I144" i="1" s="1" a="1"/>
  <c r="I144" i="1" s="1"/>
  <c r="H145" i="1"/>
  <c r="I145" i="1" s="1" a="1"/>
  <c r="I145" i="1" s="1"/>
  <c r="H146" i="1"/>
  <c r="I146" i="1" s="1" a="1"/>
  <c r="I146" i="1" s="1"/>
  <c r="H147" i="1"/>
  <c r="I147" i="1" s="1" a="1"/>
  <c r="I147" i="1" s="1"/>
  <c r="H148" i="1"/>
  <c r="I148" i="1" s="1" a="1"/>
  <c r="I148" i="1" s="1"/>
  <c r="H149" i="1"/>
  <c r="I149" i="1" s="1" a="1"/>
  <c r="I149" i="1" s="1"/>
  <c r="H150" i="1"/>
  <c r="I150" i="1" s="1" a="1"/>
  <c r="I150" i="1" s="1"/>
  <c r="H151" i="1"/>
  <c r="I151" i="1" s="1" a="1"/>
  <c r="I151" i="1" s="1"/>
  <c r="H152" i="1"/>
  <c r="H153" i="1"/>
  <c r="I153" i="1" s="1" a="1"/>
  <c r="I153" i="1" s="1"/>
  <c r="H154" i="1"/>
  <c r="I154" i="1" s="1" a="1"/>
  <c r="I154" i="1" s="1"/>
  <c r="H155" i="1"/>
  <c r="I155" i="1" s="1" a="1"/>
  <c r="I155" i="1" s="1"/>
  <c r="H156" i="1"/>
  <c r="I156" i="1" s="1" a="1"/>
  <c r="I156" i="1" s="1"/>
  <c r="H157" i="1"/>
  <c r="I157" i="1" s="1" a="1"/>
  <c r="I157" i="1" s="1"/>
  <c r="H158" i="1"/>
  <c r="I158" i="1" s="1" a="1"/>
  <c r="I158" i="1" s="1"/>
  <c r="H159" i="1"/>
  <c r="I159" i="1" s="1" a="1"/>
  <c r="I159" i="1" s="1"/>
  <c r="H160" i="1"/>
  <c r="I160" i="1" s="1" a="1"/>
  <c r="I160" i="1" s="1"/>
  <c r="H161" i="1"/>
  <c r="I161" i="1" s="1" a="1"/>
  <c r="I161" i="1" s="1"/>
  <c r="H162" i="1"/>
  <c r="I162" i="1" s="1" a="1"/>
  <c r="I162" i="1" s="1"/>
  <c r="H163" i="1"/>
  <c r="I163" i="1" s="1" a="1"/>
  <c r="I163" i="1" s="1"/>
  <c r="H164" i="1"/>
  <c r="I164" i="1" s="1" a="1"/>
  <c r="I164" i="1" s="1"/>
  <c r="H165" i="1"/>
  <c r="I165" i="1" s="1" a="1"/>
  <c r="I165" i="1" s="1"/>
  <c r="H166" i="1"/>
  <c r="I166" i="1" s="1" a="1"/>
  <c r="I166" i="1" s="1"/>
  <c r="H167" i="1"/>
  <c r="I167" i="1" s="1" a="1"/>
  <c r="I167" i="1" s="1"/>
  <c r="H168" i="1"/>
  <c r="I168" i="1" s="1" a="1"/>
  <c r="I168" i="1" s="1"/>
  <c r="H169" i="1"/>
  <c r="I169" i="1" s="1" a="1"/>
  <c r="I169" i="1" s="1"/>
  <c r="H170" i="1"/>
  <c r="I170" i="1" s="1" a="1"/>
  <c r="I170" i="1" s="1"/>
  <c r="H171" i="1"/>
  <c r="I171" i="1" s="1" a="1"/>
  <c r="I171" i="1" s="1"/>
  <c r="H172" i="1"/>
  <c r="I172" i="1" s="1" a="1"/>
  <c r="I172" i="1" s="1"/>
  <c r="H173" i="1"/>
  <c r="I173" i="1" s="1" a="1"/>
  <c r="I173" i="1" s="1"/>
  <c r="H174" i="1"/>
  <c r="I174" i="1" s="1" a="1"/>
  <c r="I174" i="1" s="1"/>
  <c r="H175" i="1"/>
  <c r="I175" i="1" s="1" a="1"/>
  <c r="I175" i="1" s="1"/>
  <c r="H176" i="1"/>
  <c r="I176" i="1" s="1" a="1"/>
  <c r="I176" i="1" s="1"/>
  <c r="H177" i="1"/>
  <c r="I177" i="1" s="1" a="1"/>
  <c r="I177" i="1" s="1"/>
  <c r="H178" i="1"/>
  <c r="I178" i="1" s="1" a="1"/>
  <c r="I178" i="1" s="1"/>
  <c r="H179" i="1"/>
  <c r="I179" i="1" s="1" a="1"/>
  <c r="I179" i="1" s="1"/>
  <c r="H180" i="1"/>
  <c r="I180" i="1" s="1" a="1"/>
  <c r="I180" i="1" s="1"/>
  <c r="H181" i="1"/>
  <c r="I181" i="1" s="1" a="1"/>
  <c r="I181" i="1" s="1"/>
  <c r="H182" i="1"/>
  <c r="I182" i="1" s="1" a="1"/>
  <c r="I182" i="1" s="1"/>
  <c r="H183" i="1"/>
  <c r="I183" i="1" s="1" a="1"/>
  <c r="I183" i="1" s="1"/>
  <c r="H184" i="1"/>
  <c r="I184" i="1" s="1" a="1"/>
  <c r="I184" i="1" s="1"/>
  <c r="H185" i="1"/>
  <c r="I185" i="1" s="1" a="1"/>
  <c r="I185" i="1" s="1"/>
  <c r="H186" i="1"/>
  <c r="I186" i="1" s="1" a="1"/>
  <c r="I186" i="1" s="1"/>
  <c r="H187" i="1"/>
  <c r="I187" i="1" s="1" a="1"/>
  <c r="I187" i="1" s="1"/>
  <c r="H188" i="1"/>
  <c r="I188" i="1" s="1" a="1"/>
  <c r="I188" i="1" s="1"/>
  <c r="H189" i="1"/>
  <c r="I189" i="1" s="1" a="1"/>
  <c r="I189" i="1" s="1"/>
  <c r="H190" i="1"/>
  <c r="I190" i="1" s="1" a="1"/>
  <c r="I190" i="1" s="1"/>
  <c r="H191" i="1"/>
  <c r="I191" i="1" s="1" a="1"/>
  <c r="I191" i="1" s="1"/>
  <c r="H192" i="1"/>
  <c r="I192" i="1" s="1" a="1"/>
  <c r="I192" i="1" s="1"/>
  <c r="H193" i="1"/>
  <c r="I193" i="1" s="1" a="1"/>
  <c r="I193" i="1" s="1"/>
  <c r="H194" i="1"/>
  <c r="I194" i="1" s="1" a="1"/>
  <c r="I194" i="1" s="1"/>
  <c r="H195" i="1"/>
  <c r="I195" i="1" s="1" a="1"/>
  <c r="I195" i="1" s="1"/>
  <c r="H196" i="1"/>
  <c r="I196" i="1" s="1" a="1"/>
  <c r="I196" i="1" s="1"/>
  <c r="H197" i="1"/>
  <c r="I197" i="1" s="1" a="1"/>
  <c r="I197" i="1" s="1"/>
  <c r="H198" i="1"/>
  <c r="I198" i="1" s="1" a="1"/>
  <c r="I198" i="1" s="1"/>
  <c r="H199" i="1"/>
  <c r="I199" i="1" s="1" a="1"/>
  <c r="I199" i="1" s="1"/>
  <c r="H200" i="1"/>
  <c r="I200" i="1" s="1" a="1"/>
  <c r="I200" i="1" s="1"/>
  <c r="H201" i="1"/>
  <c r="I201" i="1" s="1" a="1"/>
  <c r="I201" i="1" s="1"/>
  <c r="H202" i="1"/>
  <c r="I202" i="1" s="1" a="1"/>
  <c r="I202" i="1" s="1"/>
  <c r="H203" i="1"/>
  <c r="I203" i="1" s="1" a="1"/>
  <c r="I203" i="1" s="1"/>
  <c r="H204" i="1"/>
  <c r="I204" i="1" s="1" a="1"/>
  <c r="I204" i="1" s="1"/>
  <c r="H205" i="1"/>
  <c r="I205" i="1" s="1" a="1"/>
  <c r="I205" i="1" s="1"/>
  <c r="H206" i="1"/>
  <c r="I206" i="1" s="1" a="1"/>
  <c r="I206" i="1" s="1"/>
  <c r="H207" i="1"/>
  <c r="I207" i="1" s="1" a="1"/>
  <c r="I207" i="1" s="1"/>
  <c r="H208" i="1"/>
  <c r="I208" i="1" s="1" a="1"/>
  <c r="I208" i="1" s="1"/>
  <c r="H209" i="1"/>
  <c r="I209" i="1" s="1" a="1"/>
  <c r="I209" i="1" s="1"/>
  <c r="H210" i="1"/>
  <c r="I210" i="1" s="1" a="1"/>
  <c r="I210" i="1" s="1"/>
  <c r="H211" i="1"/>
  <c r="I211" i="1" s="1" a="1"/>
  <c r="I211" i="1" s="1"/>
  <c r="H212" i="1"/>
  <c r="I212" i="1" s="1" a="1"/>
  <c r="I212" i="1" s="1"/>
  <c r="H213" i="1"/>
  <c r="I213" i="1" s="1" a="1"/>
  <c r="I213" i="1" s="1"/>
  <c r="H214" i="1"/>
  <c r="I214" i="1" s="1" a="1"/>
  <c r="I214" i="1" s="1"/>
  <c r="H215" i="1"/>
  <c r="I215" i="1" s="1" a="1"/>
  <c r="I215" i="1" s="1"/>
  <c r="H216" i="1"/>
  <c r="I216" i="1" s="1" a="1"/>
  <c r="I216" i="1" s="1"/>
  <c r="H217" i="1"/>
  <c r="I217" i="1" s="1" a="1"/>
  <c r="I217" i="1" s="1"/>
  <c r="H218" i="1"/>
  <c r="I218" i="1" s="1" a="1"/>
  <c r="I218" i="1" s="1"/>
  <c r="H219" i="1"/>
  <c r="I219" i="1" s="1" a="1"/>
  <c r="I219" i="1" s="1"/>
  <c r="H220" i="1"/>
  <c r="I220" i="1" s="1" a="1"/>
  <c r="I220" i="1" s="1"/>
  <c r="H221" i="1"/>
  <c r="I221" i="1" s="1" a="1"/>
  <c r="I221" i="1" s="1"/>
  <c r="H222" i="1"/>
  <c r="I222" i="1" s="1" a="1"/>
  <c r="I222" i="1" s="1"/>
  <c r="H223" i="1"/>
  <c r="I223" i="1" s="1" a="1"/>
  <c r="I223" i="1" s="1"/>
  <c r="H224" i="1"/>
  <c r="I224" i="1" s="1" a="1"/>
  <c r="I224" i="1" s="1"/>
  <c r="H225" i="1"/>
  <c r="I225" i="1" s="1" a="1"/>
  <c r="I225" i="1" s="1"/>
  <c r="H226" i="1"/>
  <c r="I226" i="1" s="1" a="1"/>
  <c r="I226" i="1" s="1"/>
  <c r="H227" i="1"/>
  <c r="I227" i="1" s="1" a="1"/>
  <c r="I227" i="1" s="1"/>
  <c r="H228" i="1"/>
  <c r="I228" i="1" s="1" a="1"/>
  <c r="I228" i="1" s="1"/>
  <c r="H229" i="1"/>
  <c r="I229" i="1" s="1" a="1"/>
  <c r="I229" i="1" s="1"/>
  <c r="H230" i="1"/>
  <c r="I230" i="1" s="1" a="1"/>
  <c r="I230" i="1" s="1"/>
  <c r="H231" i="1"/>
  <c r="I231" i="1" s="1" a="1"/>
  <c r="I231" i="1" s="1"/>
  <c r="H232" i="1"/>
  <c r="I232" i="1" s="1" a="1"/>
  <c r="I232" i="1" s="1"/>
  <c r="H233" i="1"/>
  <c r="I233" i="1" s="1" a="1"/>
  <c r="I233" i="1" s="1"/>
  <c r="H234" i="1"/>
  <c r="I234" i="1" s="1" a="1"/>
  <c r="I234" i="1" s="1"/>
  <c r="H235" i="1"/>
  <c r="I235" i="1" s="1" a="1"/>
  <c r="I235" i="1" s="1"/>
  <c r="H236" i="1"/>
  <c r="I236" i="1" s="1" a="1"/>
  <c r="I236" i="1" s="1"/>
  <c r="H237" i="1"/>
  <c r="I237" i="1" s="1" a="1"/>
  <c r="I237" i="1" s="1"/>
  <c r="H238" i="1"/>
  <c r="I238" i="1" s="1" a="1"/>
  <c r="I238" i="1" s="1"/>
  <c r="H239" i="1"/>
  <c r="I239" i="1" s="1" a="1"/>
  <c r="I239" i="1" s="1"/>
  <c r="H240" i="1"/>
  <c r="I240" i="1" s="1" a="1"/>
  <c r="I240" i="1" s="1"/>
  <c r="H241" i="1"/>
  <c r="I241" i="1" s="1" a="1"/>
  <c r="I241" i="1" s="1"/>
  <c r="H242" i="1"/>
  <c r="I242" i="1" s="1" a="1"/>
  <c r="I242" i="1" s="1"/>
  <c r="H243" i="1"/>
  <c r="I243" i="1" s="1" a="1"/>
  <c r="I243" i="1" s="1"/>
  <c r="H244" i="1"/>
  <c r="I244" i="1" s="1" a="1"/>
  <c r="I244" i="1" s="1"/>
  <c r="H245" i="1"/>
  <c r="I245" i="1" s="1" a="1"/>
  <c r="I245" i="1" s="1"/>
  <c r="H246" i="1"/>
  <c r="I246" i="1" s="1" a="1"/>
  <c r="I246" i="1" s="1"/>
  <c r="H247" i="1"/>
  <c r="I247" i="1" s="1" a="1"/>
  <c r="I247" i="1" s="1"/>
  <c r="H248" i="1"/>
  <c r="I248" i="1" s="1" a="1"/>
  <c r="I248" i="1" s="1"/>
  <c r="H249" i="1"/>
  <c r="I249" i="1" s="1" a="1"/>
  <c r="I249" i="1" s="1"/>
  <c r="H250" i="1"/>
  <c r="I250" i="1" s="1" a="1"/>
  <c r="I250" i="1" s="1"/>
  <c r="H251" i="1"/>
  <c r="I251" i="1" s="1" a="1"/>
  <c r="I251" i="1" s="1"/>
  <c r="H252" i="1"/>
  <c r="I252" i="1" s="1" a="1"/>
  <c r="I252" i="1" s="1"/>
  <c r="H253" i="1"/>
  <c r="I253" i="1" s="1" a="1"/>
  <c r="I253" i="1" s="1"/>
  <c r="H254" i="1"/>
  <c r="I254" i="1" s="1" a="1"/>
  <c r="I254" i="1" s="1"/>
  <c r="H255" i="1"/>
  <c r="I255" i="1" s="1" a="1"/>
  <c r="I255" i="1" s="1"/>
  <c r="H256" i="1"/>
  <c r="I256" i="1" s="1" a="1"/>
  <c r="I256" i="1" s="1"/>
  <c r="H257" i="1"/>
  <c r="I257" i="1" s="1" a="1"/>
  <c r="I257" i="1" s="1"/>
  <c r="H258" i="1"/>
  <c r="I258" i="1" s="1" a="1"/>
  <c r="I258" i="1" s="1"/>
  <c r="H259" i="1"/>
  <c r="I259" i="1" s="1" a="1"/>
  <c r="I259" i="1" s="1"/>
  <c r="H260" i="1"/>
  <c r="I260" i="1" s="1" a="1"/>
  <c r="I260" i="1" s="1"/>
  <c r="H261" i="1"/>
  <c r="H262" i="1"/>
  <c r="I262" i="1" s="1" a="1"/>
  <c r="I262" i="1" s="1"/>
  <c r="H263" i="1"/>
  <c r="I263" i="1" s="1" a="1"/>
  <c r="I263" i="1" s="1"/>
  <c r="H264" i="1"/>
  <c r="I264" i="1" s="1" a="1"/>
  <c r="I264" i="1" s="1"/>
  <c r="H265" i="1"/>
  <c r="I265" i="1" s="1" a="1"/>
  <c r="I265" i="1" s="1"/>
  <c r="H266" i="1"/>
  <c r="I266" i="1" s="1" a="1"/>
  <c r="I266" i="1" s="1"/>
  <c r="H267" i="1"/>
  <c r="I267" i="1" s="1" a="1"/>
  <c r="I267" i="1" s="1"/>
  <c r="H268" i="1"/>
  <c r="I268" i="1" s="1" a="1"/>
  <c r="I268" i="1" s="1"/>
  <c r="H269" i="1"/>
  <c r="I269" i="1" s="1" a="1"/>
  <c r="I269" i="1" s="1"/>
  <c r="H270" i="1"/>
  <c r="I270" i="1" s="1" a="1"/>
  <c r="I270" i="1" s="1"/>
  <c r="H271" i="1"/>
  <c r="I271" i="1" s="1" a="1"/>
  <c r="I271" i="1" s="1"/>
  <c r="H272" i="1"/>
  <c r="I272" i="1" s="1" a="1"/>
  <c r="I272" i="1" s="1"/>
  <c r="H273" i="1"/>
  <c r="I273" i="1" s="1" a="1"/>
  <c r="I273" i="1" s="1"/>
  <c r="H274" i="1"/>
  <c r="I274" i="1" s="1" a="1"/>
  <c r="I274" i="1" s="1"/>
  <c r="H275" i="1"/>
  <c r="I275" i="1" s="1" a="1"/>
  <c r="I275" i="1" s="1"/>
  <c r="H276" i="1"/>
  <c r="I276" i="1" s="1" a="1"/>
  <c r="I276" i="1" s="1"/>
  <c r="H277" i="1"/>
  <c r="I277" i="1" s="1" a="1"/>
  <c r="I277" i="1" s="1"/>
  <c r="H278" i="1"/>
  <c r="I278" i="1" s="1" a="1"/>
  <c r="I278" i="1" s="1"/>
  <c r="H279" i="1"/>
  <c r="I279" i="1" s="1" a="1"/>
  <c r="I279" i="1" s="1"/>
  <c r="H280" i="1"/>
  <c r="I280" i="1" s="1" a="1"/>
  <c r="I280" i="1" s="1"/>
  <c r="H281" i="1"/>
  <c r="I281" i="1" s="1" a="1"/>
  <c r="I281" i="1" s="1"/>
  <c r="H282" i="1"/>
  <c r="I282" i="1" s="1" a="1"/>
  <c r="I282" i="1" s="1"/>
  <c r="H283" i="1"/>
  <c r="I283" i="1" s="1" a="1"/>
  <c r="I283" i="1" s="1"/>
  <c r="H284" i="1"/>
  <c r="I284" i="1" s="1" a="1"/>
  <c r="I284" i="1" s="1"/>
  <c r="H285" i="1"/>
  <c r="I285" i="1" s="1" a="1"/>
  <c r="I285" i="1" s="1"/>
  <c r="H286" i="1"/>
  <c r="I286" i="1" s="1" a="1"/>
  <c r="I286" i="1" s="1"/>
  <c r="H287" i="1"/>
  <c r="I287" i="1" s="1" a="1"/>
  <c r="I287" i="1" s="1"/>
  <c r="H288" i="1"/>
  <c r="I288" i="1" s="1" a="1"/>
  <c r="I288" i="1" s="1"/>
  <c r="H289" i="1"/>
  <c r="I289" i="1" s="1" a="1"/>
  <c r="I289" i="1" s="1"/>
  <c r="H290" i="1"/>
  <c r="I290" i="1" s="1" a="1"/>
  <c r="I290" i="1" s="1"/>
  <c r="H291" i="1"/>
  <c r="I291" i="1" s="1" a="1"/>
  <c r="I291" i="1" s="1"/>
  <c r="H292" i="1"/>
  <c r="I292" i="1" s="1" a="1"/>
  <c r="I292" i="1" s="1"/>
  <c r="H293" i="1"/>
  <c r="I293" i="1" s="1" a="1"/>
  <c r="I293" i="1" s="1"/>
  <c r="H294" i="1"/>
  <c r="I294" i="1" s="1" a="1"/>
  <c r="I294" i="1" s="1"/>
  <c r="H295" i="1"/>
  <c r="I295" i="1" s="1" a="1"/>
  <c r="I295" i="1" s="1"/>
  <c r="H296" i="1"/>
  <c r="I296" i="1" s="1" a="1"/>
  <c r="I296" i="1" s="1"/>
  <c r="H297" i="1"/>
  <c r="I297" i="1" s="1" a="1"/>
  <c r="I297" i="1" s="1"/>
  <c r="H298" i="1"/>
  <c r="I298" i="1" s="1" a="1"/>
  <c r="I298" i="1" s="1"/>
  <c r="H299" i="1"/>
  <c r="I299" i="1" s="1" a="1"/>
  <c r="I299" i="1" s="1"/>
  <c r="H300" i="1"/>
  <c r="I300" i="1" s="1" a="1"/>
  <c r="I300" i="1" s="1"/>
  <c r="H301" i="1"/>
  <c r="I301" i="1" s="1" a="1"/>
  <c r="I301" i="1" s="1"/>
  <c r="H302" i="1"/>
  <c r="I302" i="1" s="1" a="1"/>
  <c r="I302" i="1" s="1"/>
  <c r="H303" i="1"/>
  <c r="I303" i="1" s="1" a="1"/>
  <c r="I303" i="1" s="1"/>
  <c r="H304" i="1"/>
  <c r="I304" i="1" s="1" a="1"/>
  <c r="I304" i="1" s="1"/>
  <c r="H305" i="1"/>
  <c r="I305" i="1" s="1" a="1"/>
  <c r="I305" i="1" s="1"/>
  <c r="H306" i="1"/>
  <c r="I306" i="1" s="1" a="1"/>
  <c r="I306" i="1" s="1"/>
  <c r="H307" i="1"/>
  <c r="I307" i="1" s="1" a="1"/>
  <c r="I307" i="1" s="1"/>
  <c r="H308" i="1"/>
  <c r="I308" i="1" s="1" a="1"/>
  <c r="I308" i="1" s="1"/>
  <c r="H309" i="1"/>
  <c r="I309" i="1" s="1" a="1"/>
  <c r="I309" i="1" s="1"/>
  <c r="H310" i="1"/>
  <c r="I310" i="1" s="1" a="1"/>
  <c r="I310" i="1" s="1"/>
  <c r="H311" i="1"/>
  <c r="I311" i="1" s="1" a="1"/>
  <c r="I311" i="1" s="1"/>
  <c r="H312" i="1"/>
  <c r="I312" i="1" s="1" a="1"/>
  <c r="I312" i="1" s="1"/>
  <c r="H313" i="1"/>
  <c r="I313" i="1" s="1" a="1"/>
  <c r="I313" i="1" s="1"/>
  <c r="H314" i="1"/>
  <c r="I314" i="1" s="1" a="1"/>
  <c r="I314" i="1" s="1"/>
  <c r="H315" i="1"/>
  <c r="I315" i="1" s="1" a="1"/>
  <c r="I315" i="1" s="1"/>
  <c r="H316" i="1"/>
  <c r="I316" i="1" s="1" a="1"/>
  <c r="I316" i="1" s="1"/>
  <c r="H317" i="1"/>
  <c r="I317" i="1" s="1" a="1"/>
  <c r="I317" i="1" s="1"/>
  <c r="H318" i="1"/>
  <c r="I318" i="1" s="1" a="1"/>
  <c r="I318" i="1" s="1"/>
  <c r="H319" i="1"/>
  <c r="I319" i="1" s="1" a="1"/>
  <c r="I319" i="1" s="1"/>
  <c r="H320" i="1"/>
  <c r="I320" i="1" s="1" a="1"/>
  <c r="I320" i="1" s="1"/>
  <c r="H321" i="1"/>
  <c r="I321" i="1" s="1" a="1"/>
  <c r="I321" i="1" s="1"/>
  <c r="H322" i="1"/>
  <c r="I322" i="1" s="1" a="1"/>
  <c r="I322" i="1" s="1"/>
  <c r="H323" i="1"/>
  <c r="I323" i="1" s="1" a="1"/>
  <c r="I323" i="1" s="1"/>
  <c r="H324" i="1"/>
  <c r="I324" i="1" s="1" a="1"/>
  <c r="I324" i="1" s="1"/>
  <c r="H325" i="1"/>
  <c r="I325" i="1" s="1" a="1"/>
  <c r="I325" i="1" s="1"/>
  <c r="H326" i="1"/>
  <c r="I326" i="1" s="1" a="1"/>
  <c r="I326" i="1" s="1"/>
  <c r="H327" i="1"/>
  <c r="I327" i="1" s="1" a="1"/>
  <c r="I327" i="1" s="1"/>
  <c r="H328" i="1"/>
  <c r="I328" i="1" s="1" a="1"/>
  <c r="I328" i="1" s="1"/>
  <c r="H329" i="1"/>
  <c r="I329" i="1" s="1" a="1"/>
  <c r="I329" i="1" s="1"/>
  <c r="H330" i="1"/>
  <c r="I330" i="1" s="1" a="1"/>
  <c r="I330" i="1" s="1"/>
  <c r="H331" i="1"/>
  <c r="I331" i="1" s="1" a="1"/>
  <c r="I331" i="1" s="1"/>
  <c r="H332" i="1"/>
  <c r="I332" i="1" s="1" a="1"/>
  <c r="I332" i="1" s="1"/>
  <c r="H333" i="1"/>
  <c r="I333" i="1" s="1" a="1"/>
  <c r="I333" i="1" s="1"/>
  <c r="H334" i="1"/>
  <c r="I334" i="1" s="1" a="1"/>
  <c r="I334" i="1" s="1"/>
  <c r="H335" i="1"/>
  <c r="I335" i="1" s="1" a="1"/>
  <c r="I335" i="1" s="1"/>
  <c r="H336" i="1"/>
  <c r="I336" i="1" s="1" a="1"/>
  <c r="I336" i="1" s="1"/>
  <c r="H337" i="1"/>
  <c r="I337" i="1" s="1" a="1"/>
  <c r="I337" i="1" s="1"/>
  <c r="H338" i="1"/>
  <c r="I338" i="1" s="1" a="1"/>
  <c r="I338" i="1" s="1"/>
  <c r="H339" i="1"/>
  <c r="I339" i="1" s="1" a="1"/>
  <c r="I339" i="1" s="1"/>
  <c r="H340" i="1"/>
  <c r="I340" i="1" s="1" a="1"/>
  <c r="I340" i="1" s="1"/>
  <c r="H341" i="1"/>
  <c r="I341" i="1" s="1" a="1"/>
  <c r="I341" i="1" s="1"/>
  <c r="H342" i="1"/>
  <c r="I342" i="1" s="1" a="1"/>
  <c r="I342" i="1" s="1"/>
  <c r="H343" i="1"/>
  <c r="I343" i="1" s="1" a="1"/>
  <c r="I343" i="1" s="1"/>
  <c r="H344" i="1"/>
  <c r="I344" i="1" s="1" a="1"/>
  <c r="I344" i="1" s="1"/>
  <c r="H345" i="1"/>
  <c r="I345" i="1" s="1" a="1"/>
  <c r="I345" i="1" s="1"/>
  <c r="H346" i="1"/>
  <c r="I346" i="1" s="1" a="1"/>
  <c r="I346" i="1" s="1"/>
  <c r="H347" i="1"/>
  <c r="I347" i="1" s="1" a="1"/>
  <c r="I347" i="1" s="1"/>
  <c r="H348" i="1"/>
  <c r="I348" i="1" s="1" a="1"/>
  <c r="I348" i="1" s="1"/>
  <c r="H349" i="1"/>
  <c r="I349" i="1" s="1" a="1"/>
  <c r="I349" i="1" s="1"/>
  <c r="H350" i="1"/>
  <c r="I350" i="1" s="1" a="1"/>
  <c r="I350" i="1" s="1"/>
  <c r="H351" i="1"/>
  <c r="I351" i="1" s="1" a="1"/>
  <c r="I351" i="1" s="1"/>
  <c r="H352" i="1"/>
  <c r="I352" i="1" s="1" a="1"/>
  <c r="I352" i="1" s="1"/>
  <c r="H353" i="1"/>
  <c r="I353" i="1" s="1" a="1"/>
  <c r="I353" i="1" s="1"/>
  <c r="H354" i="1"/>
  <c r="I354" i="1" s="1" a="1"/>
  <c r="I354" i="1" s="1"/>
  <c r="H355" i="1"/>
  <c r="I355" i="1" s="1" a="1"/>
  <c r="I355" i="1" s="1"/>
  <c r="H356" i="1"/>
  <c r="I356" i="1" s="1" a="1"/>
  <c r="I356" i="1" s="1"/>
  <c r="H357" i="1"/>
  <c r="I357" i="1" s="1" a="1"/>
  <c r="I357" i="1" s="1"/>
  <c r="H358" i="1"/>
  <c r="I358" i="1" s="1" a="1"/>
  <c r="I358" i="1" s="1"/>
  <c r="H359" i="1"/>
  <c r="I359" i="1" s="1" a="1"/>
  <c r="I359" i="1" s="1"/>
  <c r="H360" i="1"/>
  <c r="I360" i="1" s="1" a="1"/>
  <c r="I360" i="1" s="1"/>
  <c r="H361" i="1"/>
  <c r="I361" i="1" s="1" a="1"/>
  <c r="I361" i="1" s="1"/>
  <c r="H362" i="1"/>
  <c r="I362" i="1" s="1" a="1"/>
  <c r="I362" i="1" s="1"/>
  <c r="H363" i="1"/>
  <c r="I363" i="1" s="1" a="1"/>
  <c r="I363" i="1" s="1"/>
  <c r="H364" i="1"/>
  <c r="I364" i="1" s="1" a="1"/>
  <c r="H365" i="1"/>
  <c r="I365" i="1" s="1" a="1"/>
  <c r="I365" i="1" s="1"/>
  <c r="H366" i="1"/>
  <c r="I366" i="1" s="1" a="1"/>
  <c r="I366" i="1" s="1"/>
  <c r="H367" i="1"/>
  <c r="I367" i="1" s="1" a="1"/>
  <c r="I367" i="1" s="1"/>
  <c r="H368" i="1"/>
  <c r="I368" i="1" s="1" a="1"/>
  <c r="I368" i="1" s="1"/>
  <c r="H369" i="1"/>
  <c r="I369" i="1" s="1" a="1"/>
  <c r="I369" i="1" s="1"/>
  <c r="H370" i="1"/>
  <c r="I370" i="1" s="1" a="1"/>
  <c r="I370" i="1" s="1"/>
  <c r="H371" i="1"/>
  <c r="I371" i="1" s="1" a="1"/>
  <c r="I371" i="1" s="1"/>
  <c r="H372" i="1"/>
  <c r="I372" i="1" s="1" a="1"/>
  <c r="I372" i="1" s="1"/>
  <c r="H373" i="1"/>
  <c r="I373" i="1" s="1" a="1"/>
  <c r="I373" i="1" s="1"/>
  <c r="H374" i="1"/>
  <c r="I374" i="1" s="1" a="1"/>
  <c r="I374" i="1" s="1"/>
  <c r="H375" i="1"/>
  <c r="I375" i="1" s="1" a="1"/>
  <c r="I375" i="1" s="1"/>
  <c r="H376" i="1"/>
  <c r="I376" i="1" s="1" a="1"/>
  <c r="I376" i="1" s="1"/>
  <c r="H377" i="1"/>
  <c r="I377" i="1" s="1" a="1"/>
  <c r="I377" i="1" s="1"/>
  <c r="H378" i="1"/>
  <c r="I378" i="1" s="1" a="1"/>
  <c r="I378" i="1" s="1"/>
  <c r="H379" i="1"/>
  <c r="I379" i="1" s="1" a="1"/>
  <c r="I379" i="1" s="1"/>
  <c r="H380" i="1"/>
  <c r="I380" i="1" s="1" a="1"/>
  <c r="I380" i="1" s="1"/>
  <c r="H381" i="1"/>
  <c r="I381" i="1" s="1" a="1"/>
  <c r="I381" i="1" s="1"/>
  <c r="H382" i="1"/>
  <c r="I382" i="1" s="1" a="1"/>
  <c r="I382" i="1" s="1"/>
  <c r="H383" i="1"/>
  <c r="I383" i="1" s="1" a="1"/>
  <c r="I383" i="1" s="1"/>
  <c r="H384" i="1"/>
  <c r="I384" i="1" s="1" a="1"/>
  <c r="I384" i="1" s="1"/>
  <c r="H385" i="1"/>
  <c r="I385" i="1" s="1" a="1"/>
  <c r="I385" i="1" s="1"/>
  <c r="H386" i="1"/>
  <c r="I386" i="1" s="1" a="1"/>
  <c r="I386" i="1" s="1"/>
  <c r="H387" i="1"/>
  <c r="I387" i="1" s="1" a="1"/>
  <c r="I387" i="1" s="1"/>
  <c r="H388" i="1"/>
  <c r="I388" i="1" s="1" a="1"/>
  <c r="I388" i="1" s="1"/>
  <c r="H389" i="1"/>
  <c r="I389" i="1" s="1" a="1"/>
  <c r="I389" i="1" s="1"/>
  <c r="H390" i="1"/>
  <c r="I390" i="1" s="1" a="1"/>
  <c r="I390" i="1" s="1"/>
  <c r="H391" i="1"/>
  <c r="I391" i="1" s="1" a="1"/>
  <c r="I391" i="1" s="1"/>
  <c r="H392" i="1"/>
  <c r="I392" i="1" s="1" a="1"/>
  <c r="I392" i="1" s="1"/>
  <c r="H393" i="1"/>
  <c r="I393" i="1" s="1" a="1"/>
  <c r="I393" i="1" s="1"/>
  <c r="H394" i="1"/>
  <c r="I394" i="1" s="1" a="1"/>
  <c r="I394" i="1" s="1"/>
  <c r="H395" i="1"/>
  <c r="I395" i="1" s="1" a="1"/>
  <c r="I395" i="1" s="1"/>
  <c r="H396" i="1"/>
  <c r="I396" i="1" s="1" a="1"/>
  <c r="I396" i="1" s="1"/>
  <c r="H397" i="1"/>
  <c r="I397" i="1" s="1" a="1"/>
  <c r="I397" i="1" s="1"/>
  <c r="H398" i="1"/>
  <c r="I398" i="1" s="1" a="1"/>
  <c r="I398" i="1" s="1"/>
  <c r="H399" i="1"/>
  <c r="I399" i="1" s="1" a="1"/>
  <c r="I399" i="1" s="1"/>
  <c r="H400" i="1"/>
  <c r="I400" i="1" s="1" a="1"/>
  <c r="I400" i="1" s="1"/>
  <c r="H401" i="1"/>
  <c r="I401" i="1" s="1" a="1"/>
  <c r="I401" i="1" s="1"/>
  <c r="H402" i="1"/>
  <c r="I402" i="1" s="1" a="1"/>
  <c r="I402" i="1" s="1"/>
  <c r="H403" i="1"/>
  <c r="I403" i="1" s="1" a="1"/>
  <c r="I403" i="1" s="1"/>
  <c r="H404" i="1"/>
  <c r="I404" i="1" s="1" a="1"/>
  <c r="I404" i="1" s="1"/>
  <c r="H405" i="1"/>
  <c r="I405" i="1" s="1" a="1"/>
  <c r="I405" i="1" s="1"/>
  <c r="H406" i="1"/>
  <c r="I406" i="1" s="1" a="1"/>
  <c r="I406" i="1" s="1"/>
  <c r="H407" i="1"/>
  <c r="I407" i="1" s="1" a="1"/>
  <c r="I407" i="1" s="1"/>
  <c r="H408" i="1"/>
  <c r="I408" i="1" s="1" a="1"/>
  <c r="I408" i="1" s="1"/>
  <c r="H409" i="1"/>
  <c r="I409" i="1" s="1" a="1"/>
  <c r="I409" i="1" s="1"/>
  <c r="H410" i="1"/>
  <c r="I410" i="1" s="1" a="1"/>
  <c r="I410" i="1" s="1"/>
  <c r="H411" i="1"/>
  <c r="I411" i="1" s="1" a="1"/>
  <c r="I411" i="1" s="1"/>
  <c r="H412" i="1"/>
  <c r="I412" i="1" s="1" a="1"/>
  <c r="I412" i="1" s="1"/>
  <c r="H413" i="1"/>
  <c r="I413" i="1" s="1" a="1"/>
  <c r="I413" i="1" s="1"/>
  <c r="H414" i="1"/>
  <c r="I414" i="1" s="1" a="1"/>
  <c r="I414" i="1" s="1"/>
  <c r="H415" i="1"/>
  <c r="I415" i="1" s="1" a="1"/>
  <c r="I415" i="1" s="1"/>
  <c r="H416" i="1"/>
  <c r="I416" i="1" s="1" a="1"/>
  <c r="I416" i="1" s="1"/>
  <c r="H417" i="1"/>
  <c r="I417" i="1" s="1" a="1"/>
  <c r="I417" i="1" s="1"/>
  <c r="H418" i="1"/>
  <c r="I418" i="1" s="1" a="1"/>
  <c r="I418" i="1" s="1"/>
  <c r="H419" i="1"/>
  <c r="I419" i="1" s="1" a="1"/>
  <c r="I419" i="1" s="1"/>
  <c r="H420" i="1"/>
  <c r="I420" i="1" s="1" a="1"/>
  <c r="I420" i="1" s="1"/>
  <c r="H421" i="1"/>
  <c r="I421" i="1" s="1" a="1"/>
  <c r="I421" i="1" s="1"/>
  <c r="H422" i="1"/>
  <c r="I422" i="1" s="1" a="1"/>
  <c r="I422" i="1" s="1"/>
  <c r="H423" i="1"/>
  <c r="I423" i="1" s="1" a="1"/>
  <c r="I423" i="1" s="1"/>
  <c r="H424" i="1"/>
  <c r="I424" i="1" s="1" a="1"/>
  <c r="I424" i="1" s="1"/>
  <c r="H425" i="1"/>
  <c r="I425" i="1" s="1" a="1"/>
  <c r="I425" i="1" s="1"/>
  <c r="H426" i="1"/>
  <c r="I426" i="1" s="1" a="1"/>
  <c r="I426" i="1" s="1"/>
  <c r="H427" i="1"/>
  <c r="I427" i="1" s="1" a="1"/>
  <c r="I427" i="1" s="1"/>
  <c r="H428" i="1"/>
  <c r="I428" i="1" s="1" a="1"/>
  <c r="I428" i="1" s="1"/>
  <c r="H429" i="1"/>
  <c r="I429" i="1" s="1" a="1"/>
  <c r="I429" i="1" s="1"/>
  <c r="H430" i="1"/>
  <c r="I430" i="1" s="1" a="1"/>
  <c r="I430" i="1" s="1"/>
  <c r="H431" i="1"/>
  <c r="I431" i="1" s="1" a="1"/>
  <c r="I431" i="1" s="1"/>
  <c r="H432" i="1"/>
  <c r="I432" i="1" s="1" a="1"/>
  <c r="I432" i="1" s="1"/>
  <c r="H433" i="1"/>
  <c r="I433" i="1" s="1" a="1"/>
  <c r="I433" i="1" s="1"/>
  <c r="H434" i="1"/>
  <c r="I434" i="1" s="1" a="1"/>
  <c r="I434" i="1" s="1"/>
  <c r="H435" i="1"/>
  <c r="I435" i="1" s="1" a="1"/>
  <c r="I435" i="1" s="1"/>
  <c r="H436" i="1"/>
  <c r="I436" i="1" s="1" a="1"/>
  <c r="I436" i="1" s="1"/>
  <c r="H437" i="1"/>
  <c r="I437" i="1" s="1" a="1"/>
  <c r="H438" i="1"/>
  <c r="I438" i="1" s="1" a="1"/>
  <c r="I438" i="1" s="1"/>
  <c r="H439" i="1"/>
  <c r="I439" i="1" s="1" a="1"/>
  <c r="I439" i="1" s="1"/>
  <c r="H440" i="1"/>
  <c r="I440" i="1" s="1" a="1"/>
  <c r="I440" i="1" s="1"/>
  <c r="H441" i="1"/>
  <c r="I441" i="1" s="1" a="1"/>
  <c r="I441" i="1" s="1"/>
  <c r="H442" i="1"/>
  <c r="I442" i="1" s="1" a="1"/>
  <c r="I442" i="1" s="1"/>
  <c r="H443" i="1"/>
  <c r="I443" i="1" s="1" a="1"/>
  <c r="I443" i="1" s="1"/>
  <c r="H444" i="1"/>
  <c r="I444" i="1" s="1" a="1"/>
  <c r="I444" i="1" s="1"/>
  <c r="H445" i="1"/>
  <c r="I445" i="1" s="1" a="1"/>
  <c r="I445" i="1" s="1"/>
  <c r="H446" i="1"/>
  <c r="I446" i="1" s="1" a="1"/>
  <c r="I446" i="1" s="1"/>
  <c r="H447" i="1"/>
  <c r="I447" i="1" s="1" a="1"/>
  <c r="I447" i="1" s="1"/>
  <c r="H448" i="1"/>
  <c r="I448" i="1" s="1" a="1"/>
  <c r="I448" i="1" s="1"/>
  <c r="H449" i="1"/>
  <c r="I449" i="1" s="1" a="1"/>
  <c r="I449" i="1" s="1"/>
  <c r="H450" i="1"/>
  <c r="I450" i="1" s="1" a="1"/>
  <c r="I450" i="1" s="1"/>
  <c r="H451" i="1"/>
  <c r="I451" i="1" s="1" a="1"/>
  <c r="I451" i="1" s="1"/>
  <c r="H452" i="1"/>
  <c r="I452" i="1" s="1" a="1"/>
  <c r="I452" i="1" s="1"/>
  <c r="H453" i="1"/>
  <c r="I453" i="1" s="1" a="1"/>
  <c r="I453" i="1" s="1"/>
  <c r="H454" i="1"/>
  <c r="I454" i="1" s="1" a="1"/>
  <c r="I454" i="1" s="1"/>
  <c r="H455" i="1"/>
  <c r="I455" i="1" s="1" a="1"/>
  <c r="I455" i="1" s="1"/>
  <c r="H456" i="1"/>
  <c r="I456" i="1" s="1" a="1"/>
  <c r="I456" i="1" s="1"/>
  <c r="H457" i="1"/>
  <c r="I457" i="1" s="1" a="1"/>
  <c r="I457" i="1" s="1"/>
  <c r="H458" i="1"/>
  <c r="I458" i="1" s="1" a="1"/>
  <c r="I458" i="1" s="1"/>
  <c r="H459" i="1"/>
  <c r="I459" i="1" s="1" a="1"/>
  <c r="I459" i="1" s="1"/>
  <c r="H460" i="1"/>
  <c r="I460" i="1" s="1" a="1"/>
  <c r="I460" i="1" s="1"/>
  <c r="H461" i="1"/>
  <c r="I461" i="1" s="1" a="1"/>
  <c r="I461" i="1" s="1"/>
  <c r="H462" i="1"/>
  <c r="I462" i="1" s="1" a="1"/>
  <c r="I462" i="1" s="1"/>
  <c r="H463" i="1"/>
  <c r="I463" i="1" s="1" a="1"/>
  <c r="I463" i="1" s="1"/>
  <c r="H464" i="1"/>
  <c r="I464" i="1" s="1" a="1"/>
  <c r="I464" i="1" s="1"/>
  <c r="H465" i="1"/>
  <c r="I465" i="1" s="1" a="1"/>
  <c r="I465" i="1" s="1"/>
  <c r="H466" i="1"/>
  <c r="I466" i="1" s="1" a="1"/>
  <c r="I466" i="1" s="1"/>
  <c r="H467" i="1"/>
  <c r="I467" i="1" s="1" a="1"/>
  <c r="I467" i="1" s="1"/>
  <c r="H468" i="1"/>
  <c r="I468" i="1" s="1" a="1"/>
  <c r="I468" i="1" s="1"/>
  <c r="H469" i="1"/>
  <c r="I469" i="1" s="1" a="1"/>
  <c r="I469" i="1" s="1"/>
  <c r="H470" i="1"/>
  <c r="I470" i="1" s="1" a="1"/>
  <c r="I470" i="1" s="1"/>
  <c r="H471" i="1"/>
  <c r="I471" i="1" s="1" a="1"/>
  <c r="I471" i="1" s="1"/>
  <c r="H472" i="1"/>
  <c r="I472" i="1" s="1" a="1"/>
  <c r="I472" i="1" s="1"/>
  <c r="H473" i="1"/>
  <c r="I473" i="1" s="1" a="1"/>
  <c r="I473" i="1" s="1"/>
  <c r="H474" i="1"/>
  <c r="I474" i="1" s="1" a="1"/>
  <c r="I474" i="1" s="1"/>
  <c r="H475" i="1"/>
  <c r="I475" i="1" s="1" a="1"/>
  <c r="I475" i="1" s="1"/>
  <c r="H476" i="1"/>
  <c r="I476" i="1" s="1" a="1"/>
  <c r="I476" i="1" s="1"/>
  <c r="H477" i="1"/>
  <c r="I477" i="1" s="1" a="1"/>
  <c r="I477" i="1" s="1"/>
  <c r="H478" i="1"/>
  <c r="I478" i="1" s="1" a="1"/>
  <c r="I478" i="1" s="1"/>
  <c r="H479" i="1"/>
  <c r="I479" i="1" s="1" a="1"/>
  <c r="I479" i="1" s="1"/>
  <c r="H480" i="1"/>
  <c r="I480" i="1" s="1" a="1"/>
  <c r="I480" i="1" s="1"/>
  <c r="H481" i="1"/>
  <c r="I481" i="1" s="1" a="1"/>
  <c r="I481" i="1" s="1"/>
  <c r="H482" i="1"/>
  <c r="I482" i="1" s="1" a="1"/>
  <c r="I482" i="1" s="1"/>
  <c r="H483" i="1"/>
  <c r="I483" i="1" s="1" a="1"/>
  <c r="I483" i="1" s="1"/>
  <c r="H484" i="1"/>
  <c r="I484" i="1" s="1" a="1"/>
  <c r="I484" i="1" s="1"/>
  <c r="H485" i="1"/>
  <c r="I485" i="1" s="1" a="1"/>
  <c r="I485" i="1" s="1"/>
  <c r="H486" i="1"/>
  <c r="I486" i="1" s="1" a="1"/>
  <c r="I486" i="1" s="1"/>
  <c r="H487" i="1"/>
  <c r="I487" i="1" s="1" a="1"/>
  <c r="I487" i="1" s="1"/>
  <c r="H488" i="1"/>
  <c r="I488" i="1" s="1" a="1"/>
  <c r="I488" i="1" s="1"/>
  <c r="H489" i="1"/>
  <c r="I489" i="1" s="1" a="1"/>
  <c r="I489" i="1" s="1"/>
  <c r="H490" i="1"/>
  <c r="I490" i="1" s="1" a="1"/>
  <c r="I490" i="1" s="1"/>
  <c r="H491" i="1"/>
  <c r="I491" i="1" s="1" a="1"/>
  <c r="I491" i="1" s="1"/>
  <c r="H492" i="1"/>
  <c r="I492" i="1" s="1" a="1"/>
  <c r="I492" i="1" s="1"/>
  <c r="H493" i="1"/>
  <c r="I493" i="1" s="1" a="1"/>
  <c r="I493" i="1" s="1"/>
  <c r="H494" i="1"/>
  <c r="I494" i="1" s="1" a="1"/>
  <c r="I494" i="1" s="1"/>
  <c r="H495" i="1"/>
  <c r="I495" i="1" s="1" a="1"/>
  <c r="I495" i="1" s="1"/>
  <c r="H496" i="1"/>
  <c r="I496" i="1" s="1" a="1"/>
  <c r="I496" i="1" s="1"/>
  <c r="H497" i="1"/>
  <c r="I497" i="1" s="1" a="1"/>
  <c r="I497" i="1" s="1"/>
  <c r="H498" i="1"/>
  <c r="I498" i="1" s="1" a="1"/>
  <c r="I498" i="1" s="1"/>
  <c r="H499" i="1"/>
  <c r="I499" i="1" s="1" a="1"/>
  <c r="I499" i="1" s="1"/>
  <c r="H500" i="1"/>
  <c r="I500" i="1" s="1" a="1"/>
  <c r="I500" i="1" s="1"/>
  <c r="H501" i="1"/>
  <c r="I501" i="1" s="1" a="1"/>
  <c r="I501" i="1" s="1"/>
  <c r="H502" i="1"/>
  <c r="I502" i="1" s="1" a="1"/>
  <c r="I502" i="1" s="1"/>
  <c r="H503" i="1"/>
  <c r="I503" i="1" s="1" a="1"/>
  <c r="I503" i="1" s="1"/>
  <c r="H504" i="1"/>
  <c r="I504" i="1" s="1" a="1"/>
  <c r="I504" i="1" s="1"/>
  <c r="H505" i="1"/>
  <c r="I505" i="1" s="1" a="1"/>
  <c r="I505" i="1" s="1"/>
  <c r="H506" i="1"/>
  <c r="I506" i="1" s="1" a="1"/>
  <c r="I506" i="1" s="1"/>
  <c r="H507" i="1"/>
  <c r="I507" i="1" s="1" a="1"/>
  <c r="I507" i="1" s="1"/>
  <c r="H508" i="1"/>
  <c r="I508" i="1" s="1" a="1"/>
  <c r="I508" i="1" s="1"/>
  <c r="H509" i="1"/>
  <c r="I509" i="1" s="1" a="1"/>
  <c r="I509" i="1" s="1"/>
  <c r="H510" i="1"/>
  <c r="I510" i="1" s="1" a="1"/>
  <c r="I510" i="1" s="1"/>
  <c r="H511" i="1"/>
  <c r="I511" i="1" s="1" a="1"/>
  <c r="I511" i="1" s="1"/>
  <c r="H512" i="1"/>
  <c r="H513" i="1"/>
  <c r="I513" i="1" s="1" a="1"/>
  <c r="I513" i="1" s="1"/>
  <c r="H514" i="1"/>
  <c r="I514" i="1" s="1" a="1"/>
  <c r="I514" i="1" s="1"/>
  <c r="H515" i="1"/>
  <c r="I515" i="1" s="1" a="1"/>
  <c r="I515" i="1" s="1"/>
  <c r="H516" i="1"/>
  <c r="I516" i="1" s="1" a="1"/>
  <c r="I516" i="1" s="1"/>
  <c r="H517" i="1"/>
  <c r="I517" i="1" s="1" a="1"/>
  <c r="I517" i="1" s="1"/>
  <c r="H518" i="1"/>
  <c r="I518" i="1" s="1" a="1"/>
  <c r="I518" i="1" s="1"/>
  <c r="H519" i="1"/>
  <c r="I519" i="1" s="1" a="1"/>
  <c r="I519" i="1" s="1"/>
  <c r="H520" i="1"/>
  <c r="I520" i="1" s="1" a="1"/>
  <c r="I520" i="1" s="1"/>
  <c r="H521" i="1"/>
  <c r="I521" i="1" s="1" a="1"/>
  <c r="I521" i="1" s="1"/>
  <c r="H522" i="1"/>
  <c r="I522" i="1" s="1" a="1"/>
  <c r="I522" i="1" s="1"/>
  <c r="H523" i="1"/>
  <c r="I523" i="1" s="1" a="1"/>
  <c r="I523" i="1" s="1"/>
  <c r="H524" i="1"/>
  <c r="I524" i="1" s="1" a="1"/>
  <c r="I524" i="1" s="1"/>
  <c r="H525" i="1"/>
  <c r="I525" i="1" s="1" a="1"/>
  <c r="I525" i="1" s="1"/>
  <c r="H526" i="1"/>
  <c r="I526" i="1" s="1" a="1"/>
  <c r="I526" i="1" s="1"/>
  <c r="H527" i="1"/>
  <c r="I527" i="1" s="1" a="1"/>
  <c r="I527" i="1" s="1"/>
  <c r="H528" i="1"/>
  <c r="I528" i="1" s="1" a="1"/>
  <c r="I528" i="1" s="1"/>
  <c r="H529" i="1"/>
  <c r="I529" i="1" s="1" a="1"/>
  <c r="I529" i="1" s="1"/>
  <c r="H530" i="1"/>
  <c r="I530" i="1" s="1" a="1"/>
  <c r="I530" i="1" s="1"/>
  <c r="H531" i="1"/>
  <c r="I531" i="1" s="1" a="1"/>
  <c r="I531" i="1" s="1"/>
  <c r="H532" i="1"/>
  <c r="I532" i="1" s="1" a="1"/>
  <c r="I532" i="1" s="1"/>
  <c r="H533" i="1"/>
  <c r="I533" i="1" s="1" a="1"/>
  <c r="I533" i="1" s="1"/>
  <c r="H534" i="1"/>
  <c r="I534" i="1" s="1" a="1"/>
  <c r="I534" i="1" s="1"/>
  <c r="H535" i="1"/>
  <c r="I535" i="1" s="1" a="1"/>
  <c r="I535" i="1" s="1"/>
  <c r="H536" i="1"/>
  <c r="I536" i="1" s="1" a="1"/>
  <c r="I536" i="1" s="1"/>
  <c r="H537" i="1"/>
  <c r="I537" i="1" s="1" a="1"/>
  <c r="I537" i="1" s="1"/>
  <c r="H538" i="1"/>
  <c r="I538" i="1" s="1" a="1"/>
  <c r="I538" i="1" s="1"/>
  <c r="H539" i="1"/>
  <c r="I539" i="1" s="1" a="1"/>
  <c r="I539" i="1" s="1"/>
  <c r="H540" i="1"/>
  <c r="I540" i="1" s="1" a="1"/>
  <c r="I540" i="1" s="1"/>
  <c r="H541" i="1"/>
  <c r="I541" i="1" s="1" a="1"/>
  <c r="I541" i="1" s="1"/>
  <c r="H542" i="1"/>
  <c r="I542" i="1" s="1" a="1"/>
  <c r="I542" i="1" s="1"/>
  <c r="H543" i="1"/>
  <c r="I543" i="1" s="1" a="1"/>
  <c r="I543" i="1" s="1"/>
  <c r="H544" i="1"/>
  <c r="I544" i="1" s="1" a="1"/>
  <c r="I544" i="1" s="1"/>
  <c r="H545" i="1"/>
  <c r="I545" i="1" s="1" a="1"/>
  <c r="I545" i="1" s="1"/>
  <c r="H546" i="1"/>
  <c r="I546" i="1" s="1" a="1"/>
  <c r="I546" i="1" s="1"/>
  <c r="H547" i="1"/>
  <c r="I547" i="1" s="1" a="1"/>
  <c r="I547" i="1" s="1"/>
  <c r="H548" i="1"/>
  <c r="I548" i="1" s="1" a="1"/>
  <c r="I548" i="1" s="1"/>
  <c r="H549" i="1"/>
  <c r="I549" i="1" s="1" a="1"/>
  <c r="I549" i="1" s="1"/>
  <c r="H550" i="1"/>
  <c r="I550" i="1" s="1" a="1"/>
  <c r="I550" i="1" s="1"/>
  <c r="H551" i="1"/>
  <c r="I551" i="1" s="1" a="1"/>
  <c r="I551" i="1" s="1"/>
  <c r="H552" i="1"/>
  <c r="I552" i="1" s="1" a="1"/>
  <c r="I552" i="1" s="1"/>
  <c r="H553" i="1"/>
  <c r="I553" i="1" s="1" a="1"/>
  <c r="I553" i="1" s="1"/>
  <c r="H554" i="1"/>
  <c r="I554" i="1" s="1" a="1"/>
  <c r="I554" i="1" s="1"/>
  <c r="H555" i="1"/>
  <c r="I555" i="1" s="1" a="1"/>
  <c r="I555" i="1" s="1"/>
  <c r="H556" i="1"/>
  <c r="I556" i="1" s="1" a="1"/>
  <c r="I556" i="1" s="1"/>
  <c r="H557" i="1"/>
  <c r="I557" i="1" s="1" a="1"/>
  <c r="H558" i="1"/>
  <c r="I558" i="1" s="1" a="1"/>
  <c r="I558" i="1" s="1"/>
  <c r="H559" i="1"/>
  <c r="I559" i="1" s="1" a="1"/>
  <c r="I559" i="1" s="1"/>
  <c r="H560" i="1"/>
  <c r="I560" i="1" s="1" a="1"/>
  <c r="I560" i="1" s="1"/>
  <c r="H561" i="1"/>
  <c r="I561" i="1" s="1" a="1"/>
  <c r="I561" i="1" s="1"/>
  <c r="H562" i="1"/>
  <c r="I562" i="1" s="1" a="1"/>
  <c r="I562" i="1" s="1"/>
  <c r="H563" i="1"/>
  <c r="I563" i="1" s="1" a="1"/>
  <c r="I563" i="1" s="1"/>
  <c r="H564" i="1"/>
  <c r="I564" i="1" s="1" a="1"/>
  <c r="I564" i="1" s="1"/>
  <c r="H565" i="1"/>
  <c r="I565" i="1" s="1" a="1"/>
  <c r="I565" i="1" s="1"/>
  <c r="H566" i="1"/>
  <c r="I566" i="1" s="1" a="1"/>
  <c r="I566" i="1" s="1"/>
  <c r="H567" i="1"/>
  <c r="I567" i="1" s="1" a="1"/>
  <c r="I567" i="1" s="1"/>
  <c r="H568" i="1"/>
  <c r="I568" i="1" s="1" a="1"/>
  <c r="I568" i="1" s="1"/>
  <c r="H569" i="1"/>
  <c r="I569" i="1" s="1" a="1"/>
  <c r="I569" i="1" s="1"/>
  <c r="H570" i="1"/>
  <c r="I570" i="1" s="1" a="1"/>
  <c r="I570" i="1" s="1"/>
  <c r="H571" i="1"/>
  <c r="I571" i="1" s="1" a="1"/>
  <c r="I571" i="1" s="1"/>
  <c r="H572" i="1"/>
  <c r="I572" i="1" s="1" a="1"/>
  <c r="I572" i="1" s="1"/>
  <c r="H573" i="1"/>
  <c r="I573" i="1" s="1" a="1"/>
  <c r="I573" i="1" s="1"/>
  <c r="H574" i="1"/>
  <c r="I574" i="1" s="1" a="1"/>
  <c r="I574" i="1" s="1"/>
  <c r="H575" i="1"/>
  <c r="I575" i="1" s="1" a="1"/>
  <c r="I575" i="1" s="1"/>
  <c r="H576" i="1"/>
  <c r="I576" i="1" s="1" a="1"/>
  <c r="I576" i="1" s="1"/>
  <c r="H577" i="1"/>
  <c r="I577" i="1" s="1" a="1"/>
  <c r="I577" i="1" s="1"/>
  <c r="H578" i="1"/>
  <c r="I578" i="1" s="1" a="1"/>
  <c r="I578" i="1" s="1"/>
  <c r="H579" i="1"/>
  <c r="I579" i="1" s="1" a="1"/>
  <c r="I579" i="1" s="1"/>
  <c r="H580" i="1"/>
  <c r="I580" i="1" s="1" a="1"/>
  <c r="I580" i="1" s="1"/>
  <c r="H581" i="1"/>
  <c r="I581" i="1" s="1" a="1"/>
  <c r="I581" i="1" s="1"/>
  <c r="H582" i="1"/>
  <c r="I582" i="1" s="1" a="1"/>
  <c r="I582" i="1" s="1"/>
  <c r="H583" i="1"/>
  <c r="I583" i="1" s="1" a="1"/>
  <c r="I583" i="1" s="1"/>
  <c r="H584" i="1"/>
  <c r="I584" i="1" s="1" a="1"/>
  <c r="I584" i="1" s="1"/>
  <c r="H585" i="1"/>
  <c r="I585" i="1" s="1" a="1"/>
  <c r="I585" i="1" s="1"/>
  <c r="H586" i="1"/>
  <c r="I586" i="1" s="1" a="1"/>
  <c r="I586" i="1" s="1"/>
  <c r="H587" i="1"/>
  <c r="I587" i="1" s="1" a="1"/>
  <c r="I587" i="1" s="1"/>
  <c r="H588" i="1"/>
  <c r="I588" i="1" s="1" a="1"/>
  <c r="I588" i="1" s="1"/>
  <c r="H589" i="1"/>
  <c r="I589" i="1" s="1" a="1"/>
  <c r="I589" i="1" s="1"/>
  <c r="H590" i="1"/>
  <c r="I590" i="1" s="1" a="1"/>
  <c r="I590" i="1" s="1"/>
  <c r="H591" i="1"/>
  <c r="I591" i="1" s="1" a="1"/>
  <c r="I591" i="1" s="1"/>
  <c r="H592" i="1"/>
  <c r="I592" i="1" s="1" a="1"/>
  <c r="I592" i="1" s="1"/>
  <c r="H593" i="1"/>
  <c r="I593" i="1" s="1" a="1"/>
  <c r="I593" i="1" s="1"/>
  <c r="H594" i="1"/>
  <c r="I594" i="1" s="1" a="1"/>
  <c r="I594" i="1" s="1"/>
  <c r="H595" i="1"/>
  <c r="I595" i="1" s="1" a="1"/>
  <c r="I595" i="1" s="1"/>
  <c r="H596" i="1"/>
  <c r="I596" i="1" s="1" a="1"/>
  <c r="I596" i="1" s="1"/>
  <c r="H597" i="1"/>
  <c r="I597" i="1" s="1" a="1"/>
  <c r="I597" i="1" s="1"/>
  <c r="H598" i="1"/>
  <c r="I598" i="1" s="1" a="1"/>
  <c r="I598" i="1" s="1"/>
  <c r="H599" i="1"/>
  <c r="I599" i="1" s="1" a="1"/>
  <c r="I599" i="1" s="1"/>
  <c r="H600" i="1"/>
  <c r="H601" i="1"/>
  <c r="I601" i="1" s="1" a="1"/>
  <c r="I601" i="1" s="1"/>
  <c r="H602" i="1"/>
  <c r="I602" i="1" s="1" a="1"/>
  <c r="I602" i="1" s="1"/>
  <c r="H603" i="1"/>
  <c r="I603" i="1" s="1" a="1"/>
  <c r="I603" i="1" s="1"/>
  <c r="H604" i="1"/>
  <c r="I604" i="1" s="1" a="1"/>
  <c r="I604" i="1" s="1"/>
  <c r="H605" i="1"/>
  <c r="I605" i="1" s="1" a="1"/>
  <c r="I605" i="1" s="1"/>
  <c r="H606" i="1"/>
  <c r="I606" i="1" s="1" a="1"/>
  <c r="I606" i="1" s="1"/>
  <c r="H607" i="1"/>
  <c r="I607" i="1" s="1" a="1"/>
  <c r="I607" i="1" s="1"/>
  <c r="H608" i="1"/>
  <c r="I608" i="1" s="1" a="1"/>
  <c r="I608" i="1" s="1"/>
  <c r="H609" i="1"/>
  <c r="I609" i="1" s="1" a="1"/>
  <c r="I609" i="1" s="1"/>
  <c r="H610" i="1"/>
  <c r="I610" i="1" s="1" a="1"/>
  <c r="I610" i="1" s="1"/>
  <c r="H611" i="1"/>
  <c r="I611" i="1" s="1" a="1"/>
  <c r="I611" i="1" s="1"/>
  <c r="H612" i="1"/>
  <c r="I612" i="1" s="1" a="1"/>
  <c r="I612" i="1" s="1"/>
  <c r="H613" i="1"/>
  <c r="I613" i="1" s="1" a="1"/>
  <c r="I613" i="1" s="1"/>
  <c r="H614" i="1"/>
  <c r="I614" i="1" s="1" a="1"/>
  <c r="I614" i="1" s="1"/>
  <c r="H615" i="1"/>
  <c r="I615" i="1" s="1" a="1"/>
  <c r="I615" i="1" s="1"/>
  <c r="H616" i="1"/>
  <c r="I616" i="1" s="1" a="1"/>
  <c r="I616" i="1" s="1"/>
  <c r="H617" i="1"/>
  <c r="I617" i="1" s="1" a="1"/>
  <c r="I617" i="1" s="1"/>
  <c r="H618" i="1"/>
  <c r="I618" i="1" s="1" a="1"/>
  <c r="I618" i="1" s="1"/>
  <c r="H619" i="1"/>
  <c r="I619" i="1" s="1" a="1"/>
  <c r="I619" i="1" s="1"/>
  <c r="H620" i="1"/>
  <c r="I620" i="1" s="1" a="1"/>
  <c r="I620" i="1" s="1"/>
  <c r="H621" i="1"/>
  <c r="I621" i="1" s="1" a="1"/>
  <c r="I621" i="1" s="1"/>
  <c r="H622" i="1"/>
  <c r="I622" i="1" s="1" a="1"/>
  <c r="I622" i="1" s="1"/>
  <c r="H623" i="1"/>
  <c r="I623" i="1" s="1" a="1"/>
  <c r="I623" i="1" s="1"/>
  <c r="H624" i="1"/>
  <c r="I624" i="1" s="1" a="1"/>
  <c r="I624" i="1" s="1"/>
  <c r="H625" i="1"/>
  <c r="I625" i="1" s="1" a="1"/>
  <c r="I625" i="1" s="1"/>
  <c r="H626" i="1"/>
  <c r="I626" i="1" s="1" a="1"/>
  <c r="I626" i="1" s="1"/>
  <c r="H627" i="1"/>
  <c r="I627" i="1" s="1" a="1"/>
  <c r="I627" i="1" s="1"/>
  <c r="H628" i="1"/>
  <c r="I628" i="1" s="1" a="1"/>
  <c r="I628" i="1" s="1"/>
  <c r="H629" i="1"/>
  <c r="I629" i="1" s="1" a="1"/>
  <c r="I629" i="1" s="1"/>
  <c r="H630" i="1"/>
  <c r="I630" i="1" s="1" a="1"/>
  <c r="I630" i="1" s="1"/>
  <c r="H631" i="1"/>
  <c r="I631" i="1" s="1" a="1"/>
  <c r="I631" i="1" s="1"/>
  <c r="H632" i="1"/>
  <c r="I632" i="1" s="1" a="1"/>
  <c r="I632" i="1" s="1"/>
  <c r="H633" i="1"/>
  <c r="I633" i="1" s="1" a="1"/>
  <c r="I633" i="1" s="1"/>
  <c r="H634" i="1"/>
  <c r="I634" i="1" s="1" a="1"/>
  <c r="I634" i="1" s="1"/>
  <c r="H635" i="1"/>
  <c r="I635" i="1" s="1" a="1"/>
  <c r="I635" i="1" s="1"/>
  <c r="H636" i="1"/>
  <c r="I636" i="1" s="1" a="1"/>
  <c r="I636" i="1" s="1"/>
  <c r="H637" i="1"/>
  <c r="I637" i="1" s="1" a="1"/>
  <c r="I637" i="1" s="1"/>
  <c r="H638" i="1"/>
  <c r="I638" i="1" s="1" a="1"/>
  <c r="I638" i="1" s="1"/>
  <c r="H639" i="1"/>
  <c r="I639" i="1" s="1" a="1"/>
  <c r="I639" i="1" s="1"/>
  <c r="H640" i="1"/>
  <c r="I640" i="1" s="1" a="1"/>
  <c r="I640" i="1" s="1"/>
  <c r="H641" i="1"/>
  <c r="I641" i="1" s="1" a="1"/>
  <c r="I641" i="1" s="1"/>
  <c r="H642" i="1"/>
  <c r="I642" i="1" s="1" a="1"/>
  <c r="I642" i="1" s="1"/>
  <c r="H643" i="1"/>
  <c r="H644" i="1"/>
  <c r="I644" i="1" s="1" a="1"/>
  <c r="I644" i="1" s="1"/>
  <c r="H645" i="1"/>
  <c r="I645" i="1" s="1" a="1"/>
  <c r="I645" i="1" s="1"/>
  <c r="H646" i="1"/>
  <c r="I646" i="1" s="1" a="1"/>
  <c r="I646" i="1" s="1"/>
  <c r="H647" i="1"/>
  <c r="I647" i="1" s="1" a="1"/>
  <c r="I647" i="1" s="1"/>
  <c r="H648" i="1"/>
  <c r="I648" i="1" s="1" a="1"/>
  <c r="I648" i="1" s="1"/>
  <c r="H649" i="1"/>
  <c r="I649" i="1" s="1" a="1"/>
  <c r="I649" i="1" s="1"/>
  <c r="H650" i="1"/>
  <c r="I650" i="1" s="1" a="1"/>
  <c r="I650" i="1" s="1"/>
  <c r="H651" i="1"/>
  <c r="I651" i="1" s="1" a="1"/>
  <c r="I651" i="1" s="1"/>
  <c r="H652" i="1"/>
  <c r="I652" i="1" s="1" a="1"/>
  <c r="I652" i="1" s="1"/>
  <c r="H653" i="1"/>
  <c r="I653" i="1" s="1" a="1"/>
  <c r="I653" i="1" s="1"/>
  <c r="H654" i="1"/>
  <c r="I654" i="1" s="1" a="1"/>
  <c r="I654" i="1" s="1"/>
  <c r="H655" i="1"/>
  <c r="I655" i="1" s="1" a="1"/>
  <c r="I655" i="1" s="1"/>
  <c r="H656" i="1"/>
  <c r="I656" i="1" s="1" a="1"/>
  <c r="I656" i="1" s="1"/>
  <c r="H657" i="1"/>
  <c r="I657" i="1" s="1" a="1"/>
  <c r="I657" i="1" s="1"/>
  <c r="H658" i="1"/>
  <c r="I658" i="1" s="1" a="1"/>
  <c r="I658" i="1" s="1"/>
  <c r="H659" i="1"/>
  <c r="I659" i="1" s="1" a="1"/>
  <c r="I659" i="1" s="1"/>
  <c r="H660" i="1"/>
  <c r="I660" i="1" s="1" a="1"/>
  <c r="I660" i="1" s="1"/>
  <c r="H661" i="1"/>
  <c r="I661" i="1" s="1" a="1"/>
  <c r="I661" i="1" s="1"/>
  <c r="H662" i="1"/>
  <c r="I662" i="1" s="1" a="1"/>
  <c r="I662" i="1" s="1"/>
  <c r="H663" i="1"/>
  <c r="I663" i="1" s="1" a="1"/>
  <c r="I663" i="1" s="1"/>
  <c r="H664" i="1"/>
  <c r="I664" i="1" s="1" a="1"/>
  <c r="I664" i="1" s="1"/>
  <c r="H665" i="1"/>
  <c r="I665" i="1" s="1" a="1"/>
  <c r="I665" i="1" s="1"/>
  <c r="H666" i="1"/>
  <c r="I666" i="1" s="1" a="1"/>
  <c r="I666" i="1" s="1"/>
  <c r="H667" i="1"/>
  <c r="I667" i="1" s="1" a="1"/>
  <c r="I667" i="1" s="1"/>
  <c r="H668" i="1"/>
  <c r="I668" i="1" s="1" a="1"/>
  <c r="I668" i="1" s="1"/>
  <c r="H669" i="1"/>
  <c r="I669" i="1" s="1" a="1"/>
  <c r="I669" i="1" s="1"/>
  <c r="H670" i="1"/>
  <c r="I670" i="1" s="1" a="1"/>
  <c r="I670" i="1" s="1"/>
  <c r="H671" i="1"/>
  <c r="I671" i="1" s="1" a="1"/>
  <c r="I671" i="1" s="1"/>
  <c r="H672" i="1"/>
  <c r="I672" i="1" s="1" a="1"/>
  <c r="I672" i="1" s="1"/>
  <c r="H673" i="1"/>
  <c r="I673" i="1" s="1" a="1"/>
  <c r="I673" i="1" s="1"/>
  <c r="H674" i="1"/>
  <c r="I674" i="1" s="1" a="1"/>
  <c r="I674" i="1" s="1"/>
  <c r="H675" i="1"/>
  <c r="I675" i="1" s="1" a="1"/>
  <c r="I675" i="1" s="1"/>
  <c r="H676" i="1"/>
  <c r="I676" i="1" s="1" a="1"/>
  <c r="I676" i="1" s="1"/>
  <c r="H677" i="1"/>
  <c r="I677" i="1" s="1" a="1"/>
  <c r="I677" i="1" s="1"/>
  <c r="H678" i="1"/>
  <c r="I678" i="1" s="1" a="1"/>
  <c r="I678" i="1" s="1"/>
  <c r="H679" i="1"/>
  <c r="I679" i="1" s="1" a="1"/>
  <c r="I679" i="1" s="1"/>
  <c r="H680" i="1"/>
  <c r="I680" i="1" s="1" a="1"/>
  <c r="I680" i="1" s="1"/>
  <c r="H681" i="1"/>
  <c r="I681" i="1" s="1" a="1"/>
  <c r="I681" i="1" s="1"/>
  <c r="H682" i="1"/>
  <c r="I682" i="1" s="1" a="1"/>
  <c r="I682" i="1" s="1"/>
  <c r="H683" i="1"/>
  <c r="I683" i="1" s="1" a="1"/>
  <c r="I683" i="1" s="1"/>
  <c r="H684" i="1"/>
  <c r="I684" i="1" s="1" a="1"/>
  <c r="I684" i="1" s="1"/>
  <c r="H685" i="1"/>
  <c r="I685" i="1" s="1" a="1"/>
  <c r="I685" i="1" s="1"/>
  <c r="H686" i="1"/>
  <c r="I686" i="1" s="1" a="1"/>
  <c r="I686" i="1" s="1"/>
  <c r="H687" i="1"/>
  <c r="I687" i="1" s="1" a="1"/>
  <c r="I687" i="1" s="1"/>
  <c r="H688" i="1"/>
  <c r="I688" i="1" s="1" a="1"/>
  <c r="I688" i="1" s="1"/>
  <c r="H689" i="1"/>
  <c r="I689" i="1" s="1" a="1"/>
  <c r="I689" i="1" s="1"/>
  <c r="H690" i="1"/>
  <c r="I690" i="1" s="1" a="1"/>
  <c r="I690" i="1" s="1"/>
  <c r="H691" i="1"/>
  <c r="I691" i="1" s="1" a="1"/>
  <c r="I691" i="1" s="1"/>
  <c r="H692" i="1"/>
  <c r="I692" i="1" s="1" a="1"/>
  <c r="I692" i="1" s="1"/>
  <c r="H693" i="1"/>
  <c r="I693" i="1" s="1" a="1"/>
  <c r="I693" i="1" s="1"/>
  <c r="H694" i="1"/>
  <c r="I694" i="1" s="1" a="1"/>
  <c r="I694" i="1" s="1"/>
  <c r="H695" i="1"/>
  <c r="I695" i="1" s="1" a="1"/>
  <c r="I695" i="1" s="1"/>
  <c r="H696" i="1"/>
  <c r="I696" i="1" s="1" a="1"/>
  <c r="I696" i="1" s="1"/>
  <c r="H697" i="1"/>
  <c r="I697" i="1" s="1" a="1"/>
  <c r="I697" i="1" s="1"/>
  <c r="H698" i="1"/>
  <c r="I698" i="1" s="1" a="1"/>
  <c r="I698" i="1" s="1"/>
  <c r="H699" i="1"/>
  <c r="I699" i="1" s="1" a="1"/>
  <c r="I699" i="1" s="1"/>
  <c r="H700" i="1"/>
  <c r="I700" i="1" s="1" a="1"/>
  <c r="I700" i="1" s="1"/>
  <c r="H701" i="1"/>
  <c r="I701" i="1" s="1" a="1"/>
  <c r="I70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<sst xmlns="http://schemas.openxmlformats.org/spreadsheetml/2006/main" count="4266" uniqueCount="520">
  <si>
    <t>Tanggal</t>
  </si>
  <si>
    <t>Bulan</t>
  </si>
  <si>
    <t>Kategori</t>
  </si>
  <si>
    <t>Sub-Kategori</t>
  </si>
  <si>
    <t>Revenue</t>
  </si>
  <si>
    <t>COGS</t>
  </si>
  <si>
    <t>Gross_Profit</t>
  </si>
  <si>
    <t>Region</t>
  </si>
  <si>
    <t>Sales_Rep</t>
  </si>
  <si>
    <t>Target_Revenue</t>
  </si>
  <si>
    <t>2022-01-01</t>
  </si>
  <si>
    <t>2022-01</t>
  </si>
  <si>
    <t>Produk Fisik</t>
  </si>
  <si>
    <t>Bundle</t>
  </si>
  <si>
    <t>Bali &amp; NTT</t>
  </si>
  <si>
    <t>Citra W.</t>
  </si>
  <si>
    <t>2022-01-03</t>
  </si>
  <si>
    <t>Hardware</t>
  </si>
  <si>
    <t>Kalimantan</t>
  </si>
  <si>
    <t>Fani A.</t>
  </si>
  <si>
    <t>Jasa</t>
  </si>
  <si>
    <t>Training</t>
  </si>
  <si>
    <t>Jawa</t>
  </si>
  <si>
    <t>Produk Digital</t>
  </si>
  <si>
    <t>API Services</t>
  </si>
  <si>
    <t>Dian P.</t>
  </si>
  <si>
    <t>2022-01-04</t>
  </si>
  <si>
    <t>Software</t>
  </si>
  <si>
    <t>Eko F.</t>
  </si>
  <si>
    <t>2022-01-07</t>
  </si>
  <si>
    <t>Konsultasi</t>
  </si>
  <si>
    <t>Budi R.</t>
  </si>
  <si>
    <t>Aksesoris</t>
  </si>
  <si>
    <t>2022-01-11</t>
  </si>
  <si>
    <t>Gilang T.</t>
  </si>
  <si>
    <t>2022-01-13</t>
  </si>
  <si>
    <t>Sulawesi</t>
  </si>
  <si>
    <t>2022-01-14</t>
  </si>
  <si>
    <t>2022-01-15</t>
  </si>
  <si>
    <t>2022-01-17</t>
  </si>
  <si>
    <t>Support</t>
  </si>
  <si>
    <t>Hani M.</t>
  </si>
  <si>
    <t>2022-01-18</t>
  </si>
  <si>
    <t>2022-01-20</t>
  </si>
  <si>
    <t>2022-01-21</t>
  </si>
  <si>
    <t>2022-01-23</t>
  </si>
  <si>
    <t>2022-01-24</t>
  </si>
  <si>
    <t>2022-01-25</t>
  </si>
  <si>
    <t>Sumatera</t>
  </si>
  <si>
    <t>Andi S.</t>
  </si>
  <si>
    <t>2022-01-27</t>
  </si>
  <si>
    <t>2022-01-28</t>
  </si>
  <si>
    <t>2022-01-29</t>
  </si>
  <si>
    <t>2022-01-30</t>
  </si>
  <si>
    <t>2022-01-31</t>
  </si>
  <si>
    <t>2022-02-01</t>
  </si>
  <si>
    <t>2022-02</t>
  </si>
  <si>
    <t>2022-02-02</t>
  </si>
  <si>
    <t>Subscription</t>
  </si>
  <si>
    <t>2022-02-04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</si>
  <si>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</si>
  <si>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</si>
  <si>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</si>
  <si>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</si>
  <si>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</si>
  <si>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</si>
  <si>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</si>
  <si>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</si>
  <si>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</si>
  <si>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</si>
  <si>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</si>
  <si>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</si>
  <si>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2022-02-20</t>
  </si>
  <si>
    <t>2022-02-22</t>
  </si>
  <si>
    <t>2022-02-24</t>
  </si>
  <si>
    <t>2022-02-25</t>
  </si>
  <si>
    <t>2022-02-27</t>
  </si>
  <si>
    <t>2022-02-28</t>
  </si>
  <si>
    <t>2022-03-01</t>
  </si>
  <si>
    <t>2022-03</t>
  </si>
  <si>
    <t>2022-03-02</t>
  </si>
  <si>
    <t>2022-03-04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</si>
  <si>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</si>
  <si>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</si>
  <si>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</si>
  <si>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</si>
  <si>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</si>
  <si>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</si>
  <si>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</si>
  <si>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2022-03-17</t>
  </si>
  <si>
    <t>2022-03-18</t>
  </si>
  <si>
    <t>2022-03-20</t>
  </si>
  <si>
    <t>2022-03-23</t>
  </si>
  <si>
    <t>2022-03-25</t>
  </si>
  <si>
    <t>2022-03-26</t>
  </si>
  <si>
    <t>2022-03-27</t>
  </si>
  <si>
    <t>2022-03-28</t>
  </si>
  <si>
    <t>2022-03-29</t>
  </si>
  <si>
    <t>2022-03-31</t>
  </si>
  <si>
    <t>2022-04-02</t>
  </si>
  <si>
    <t>2022-04</t>
  </si>
  <si>
    <t>2022-04-03</t>
  </si>
  <si>
    <t>2022-04-04</t>
  </si>
  <si>
    <t>2022-04-06</t>
  </si>
  <si>
    <t>2022-04-08</t>
  </si>
  <si>
    <t>2022-04-09</t>
  </si>
  <si>
    <t>2022-04-10</t>
  </si>
  <si>
    <t>2022-04-11</t>
  </si>
  <si>
    <t>2022-04-15</t>
  </si>
  <si>
    <t>2022-04-19</t>
  </si>
  <si>
    <t>2022-04-20</t>
  </si>
  <si>
    <t>2022-04-21</t>
  </si>
  <si>
    <t>2022-04-22</t>
  </si>
  <si>
    <t>2022-04-23</t>
  </si>
  <si>
    <t>2022-04-24</t>
  </si>
  <si>
    <t>2022-04-26</t>
  </si>
  <si>
    <t>2022-04-27</t>
  </si>
  <si>
    <t>2022-04-28</t>
  </si>
  <si>
    <t>2022-04-29</t>
  </si>
  <si>
    <t>2022-04-30</t>
  </si>
  <si>
    <t>2022-05-01</t>
  </si>
  <si>
    <t>2022-05</t>
  </si>
  <si>
    <t>2022-05-04</t>
  </si>
  <si>
    <t>2022-05-07</t>
  </si>
  <si>
    <t>2022-05-08</t>
  </si>
  <si>
    <t>2022-05-09</t>
  </si>
  <si>
    <t>2022-05-14</t>
  </si>
  <si>
    <t>2022-05-15</t>
  </si>
  <si>
    <t>2022-05-16</t>
  </si>
  <si>
    <t>2022-05-17</t>
  </si>
  <si>
    <t>2022-05-18</t>
  </si>
  <si>
    <t>2022-05-19</t>
  </si>
  <si>
    <t>2022-05-21</t>
  </si>
  <si>
    <t>2022-05-22</t>
  </si>
  <si>
    <t>2022-05-25</t>
  </si>
  <si>
    <t>2022-05-26</t>
  </si>
  <si>
    <t>2022-05-28</t>
  </si>
  <si>
    <t>2022-05-30</t>
  </si>
  <si>
    <t>2022-05-31</t>
  </si>
  <si>
    <t>2022-06-02</t>
  </si>
  <si>
    <t>2022-06</t>
  </si>
  <si>
    <t>2022-06-03</t>
  </si>
  <si>
    <t>2022-06-04</t>
  </si>
  <si>
    <t>2022-06-05</t>
  </si>
  <si>
    <t>2022-06-06</t>
  </si>
  <si>
    <t>2022-06-07</t>
  </si>
  <si>
    <t>2022-06-09</t>
  </si>
  <si>
    <t>2022-06-10</t>
  </si>
  <si>
    <t>2022-06-11</t>
  </si>
  <si>
    <t>2022-06-12</t>
  </si>
  <si>
    <t>2022-06-13</t>
  </si>
  <si>
    <t>2022-06-15</t>
  </si>
  <si>
    <t>2022-06-16</t>
  </si>
  <si>
    <t>2022-06-20</t>
  </si>
  <si>
    <t>2022-06-24</t>
  </si>
  <si>
    <t>2022-06-25</t>
  </si>
  <si>
    <t>2022-06-26</t>
  </si>
  <si>
    <t>2022-06-27</t>
  </si>
  <si>
    <t>2022-06-29</t>
  </si>
  <si>
    <t>2022-07-01</t>
  </si>
  <si>
    <t>2022-07</t>
  </si>
  <si>
    <t>2022-07-02</t>
  </si>
  <si>
    <t>2022-07-03</t>
  </si>
  <si>
    <t>2022-07-04</t>
  </si>
  <si>
    <t>2022-07-05</t>
  </si>
  <si>
    <t>2022-07-09</t>
  </si>
  <si>
    <t>2022-07-11</t>
  </si>
  <si>
    <t>2022-07-12</t>
  </si>
  <si>
    <t>2022-07-13</t>
  </si>
  <si>
    <t>2022-07-16</t>
  </si>
  <si>
    <t>2022-07-17</t>
  </si>
  <si>
    <t>2022-07-18</t>
  </si>
  <si>
    <t>2022-07-22</t>
  </si>
  <si>
    <t>2022-07-23</t>
  </si>
  <si>
    <t>2022-07-24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</si>
  <si>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</si>
  <si>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</si>
  <si>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</si>
  <si>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</si>
  <si>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</si>
  <si>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</si>
  <si>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</si>
  <si>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</t>
  </si>
  <si>
    <t>2022-08-02</t>
  </si>
  <si>
    <t>2022-08-03</t>
  </si>
  <si>
    <t>2022-08-05</t>
  </si>
  <si>
    <t>2022-08-06</t>
  </si>
  <si>
    <t>2022-08-08</t>
  </si>
  <si>
    <t>2022-08-09</t>
  </si>
  <si>
    <t>2022-08-10</t>
  </si>
  <si>
    <t>2022-08-11</t>
  </si>
  <si>
    <t>2022-08-13</t>
  </si>
  <si>
    <t>2022-08-14</t>
  </si>
  <si>
    <t>2022-08-15</t>
  </si>
  <si>
    <t>2022-08-18</t>
  </si>
  <si>
    <t>2022-08-19</t>
  </si>
  <si>
    <t>2022-08-20</t>
  </si>
  <si>
    <t>2022-08-21</t>
  </si>
  <si>
    <t>2022-08-22</t>
  </si>
  <si>
    <t>2022-08-23</t>
  </si>
  <si>
    <t>2022-08-26</t>
  </si>
  <si>
    <t>2022-08-27</t>
  </si>
  <si>
    <t>2022-08-29</t>
  </si>
  <si>
    <t>2022-08-31</t>
  </si>
  <si>
    <t>2022-09-01</t>
  </si>
  <si>
    <t>2022-09</t>
  </si>
  <si>
    <t>2022-09-05</t>
  </si>
  <si>
    <t>2022-09-08</t>
  </si>
  <si>
    <t>2022-09-09</t>
  </si>
  <si>
    <t>2022-09-10</t>
  </si>
  <si>
    <t>2022-09-12</t>
  </si>
  <si>
    <t>2022-09-13</t>
  </si>
  <si>
    <t>2022-09-15</t>
  </si>
  <si>
    <t>2022-09-16</t>
  </si>
  <si>
    <t>2022-09-17</t>
  </si>
  <si>
    <t>2022-09-18</t>
  </si>
  <si>
    <t>2022-09-21</t>
  </si>
  <si>
    <t>2022-09-26</t>
  </si>
  <si>
    <t>2022-09-27</t>
  </si>
  <si>
    <t>2022-09-29</t>
  </si>
  <si>
    <t>2022-09-30</t>
  </si>
  <si>
    <t>2022-10-01</t>
  </si>
  <si>
    <t>2022-10</t>
  </si>
  <si>
    <t>2022-10-02</t>
  </si>
  <si>
    <t>2022-10-03</t>
  </si>
  <si>
    <t>2022-10-04</t>
  </si>
  <si>
    <t>2022-10-07</t>
  </si>
  <si>
    <t>2022-10-10</t>
  </si>
  <si>
    <t>2022-10-12</t>
  </si>
  <si>
    <t>2022-10-13</t>
  </si>
  <si>
    <t>2022-10-14</t>
  </si>
  <si>
    <t>2022-10-18</t>
  </si>
  <si>
    <t>2022-10-19</t>
  </si>
  <si>
    <t>2022-10-22</t>
  </si>
  <si>
    <t>2022-10-23</t>
  </si>
  <si>
    <t>2022-10-24</t>
  </si>
  <si>
    <t>2022-10-25</t>
  </si>
  <si>
    <t>2022-10-26</t>
  </si>
  <si>
    <t>2022-10-27</t>
  </si>
  <si>
    <t>2022-10-30</t>
  </si>
  <si>
    <t>2022-11-07</t>
  </si>
  <si>
    <t>2022-11</t>
  </si>
  <si>
    <t>2022-11-08</t>
  </si>
  <si>
    <t>2022-11-10</t>
  </si>
  <si>
    <t>2022-11-12</t>
  </si>
  <si>
    <t>2022-11-14</t>
  </si>
  <si>
    <t>2022-11-16</t>
  </si>
  <si>
    <t>2022-11-17</t>
  </si>
  <si>
    <t>2022-11-18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</si>
  <si>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</si>
  <si>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</si>
  <si>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</si>
  <si>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</si>
  <si>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</si>
  <si>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</si>
  <si>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</si>
  <si>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2022-11-30</t>
  </si>
  <si>
    <t>2022-12-01</t>
  </si>
  <si>
    <t>2022-12</t>
  </si>
  <si>
    <t>2022-12-03</t>
  </si>
  <si>
    <t>2022-12-07</t>
  </si>
  <si>
    <t>2022-12-09</t>
  </si>
  <si>
    <t>2022-12-12</t>
  </si>
  <si>
    <t>2022-12-14</t>
  </si>
  <si>
    <t>2022-12-15</t>
  </si>
  <si>
    <t>2022-12-16</t>
  </si>
  <si>
    <t>2022-12-17</t>
  </si>
  <si>
    <t>2022-12-18</t>
  </si>
  <si>
    <t>2022-12-19</t>
  </si>
  <si>
    <t>2022-12-22</t>
  </si>
  <si>
    <t>2022-12-27</t>
  </si>
  <si>
    <t>2022-12-28</t>
  </si>
  <si>
    <t>2022-12-30</t>
  </si>
  <si>
    <t>2023-01-01</t>
  </si>
  <si>
    <t>2023-01</t>
  </si>
  <si>
    <t>2023-01-04</t>
  </si>
  <si>
    <t>2023-01-06</t>
  </si>
  <si>
    <t>2023-01-08</t>
  </si>
  <si>
    <t>2023-01-11</t>
  </si>
  <si>
    <t>2023-01-13</t>
  </si>
  <si>
    <t>2023-01-15</t>
  </si>
  <si>
    <t>2023-01-16</t>
  </si>
  <si>
    <t>2023-01-18</t>
  </si>
  <si>
    <t>2023-01-22</t>
  </si>
  <si>
    <t>2023-01-24</t>
  </si>
  <si>
    <t>2023-01-25</t>
  </si>
  <si>
    <t>2023-01-26</t>
  </si>
  <si>
    <t>2023-01-27</t>
  </si>
  <si>
    <t>2023-01-31</t>
  </si>
  <si>
    <t>2023-02-01</t>
  </si>
  <si>
    <t>2023-02</t>
  </si>
  <si>
    <t>2023-02-04</t>
  </si>
  <si>
    <t>2023-02-05</t>
  </si>
  <si>
    <t>2023-02-07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</si>
  <si>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</si>
  <si>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</si>
  <si>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</si>
  <si>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</si>
  <si>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</si>
  <si>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</si>
  <si>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</si>
  <si>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</si>
  <si>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</si>
  <si>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</si>
  <si>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</si>
  <si>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</si>
  <si>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2023-02-22</t>
  </si>
  <si>
    <t>2023-02-24</t>
  </si>
  <si>
    <t>2023-02-26</t>
  </si>
  <si>
    <t>2023-02-27</t>
  </si>
  <si>
    <t>2023-03-01</t>
  </si>
  <si>
    <t>2023-03</t>
  </si>
  <si>
    <t>2023-03-02</t>
  </si>
  <si>
    <t>2023-03-04</t>
  </si>
  <si>
    <t>2023-03-05</t>
  </si>
  <si>
    <t>2023-03-09</t>
  </si>
  <si>
    <t>2023-03-11</t>
  </si>
  <si>
    <t>2023-03-13</t>
  </si>
  <si>
    <t>2023-03-17</t>
  </si>
  <si>
    <t>2023-03-18</t>
  </si>
  <si>
    <t>2023-03-21</t>
  </si>
  <si>
    <t>2023-03-23</t>
  </si>
  <si>
    <t>2023-03-25</t>
  </si>
  <si>
    <t>2023-03-28</t>
  </si>
  <si>
    <t>2023-03-29</t>
  </si>
  <si>
    <t>2023-03-31</t>
  </si>
  <si>
    <t>2023-04-01</t>
  </si>
  <si>
    <t>2023-04</t>
  </si>
  <si>
    <t>2023-04-02</t>
  </si>
  <si>
    <t>2023-04-03</t>
  </si>
  <si>
    <t>2023-04-04</t>
  </si>
  <si>
    <t>2023-04-06</t>
  </si>
  <si>
    <t>2023-04-07</t>
  </si>
  <si>
    <t>2023-04-08</t>
  </si>
  <si>
    <t>2023-04-09</t>
  </si>
  <si>
    <t>2023-04-10</t>
  </si>
  <si>
    <t>2023-04-11</t>
  </si>
  <si>
    <t>2023-04-16</t>
  </si>
  <si>
    <t>2023-04-19</t>
  </si>
  <si>
    <t>2023-04-20</t>
  </si>
  <si>
    <t>2023-04-22</t>
  </si>
  <si>
    <t>2023-04-23</t>
  </si>
  <si>
    <t>2023-04-24</t>
  </si>
  <si>
    <t>2023-04-26</t>
  </si>
  <si>
    <t>2023-04-27</t>
  </si>
  <si>
    <t>2023-04-29</t>
  </si>
  <si>
    <t>2023-05-02</t>
  </si>
  <si>
    <t>2023-05</t>
  </si>
  <si>
    <t>2023-05-03</t>
  </si>
  <si>
    <t>2023-05-05</t>
  </si>
  <si>
    <t>2023-05-06</t>
  </si>
  <si>
    <t>2023-05-10</t>
  </si>
  <si>
    <t>2023-05-11</t>
  </si>
  <si>
    <t>2023-05-13</t>
  </si>
  <si>
    <t>2023-05-14</t>
  </si>
  <si>
    <t>2023-05-15</t>
  </si>
  <si>
    <t>2023-05-17</t>
  </si>
  <si>
    <t>2023-05-18</t>
  </si>
  <si>
    <t>2023-05-19</t>
  </si>
  <si>
    <t>2023-05-21</t>
  </si>
  <si>
    <t>2023-05-22</t>
  </si>
  <si>
    <t>2023-05-23</t>
  </si>
  <si>
    <t>2023-05-24</t>
  </si>
  <si>
    <t>2023-05-26</t>
  </si>
  <si>
    <t>2023-05-31</t>
  </si>
  <si>
    <t>2023-06-01</t>
  </si>
  <si>
    <t>2023-06</t>
  </si>
  <si>
    <t>2023-06-02</t>
  </si>
  <si>
    <t>2023-06-04</t>
  </si>
  <si>
    <t>2023-06-05</t>
  </si>
  <si>
    <t>2023-06-06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</si>
  <si>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</si>
  <si>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</si>
  <si>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</si>
  <si>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</si>
  <si>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</si>
  <si>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</si>
  <si>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</si>
  <si>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</si>
  <si>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2023-06-17</t>
  </si>
  <si>
    <t>2023-06-19</t>
  </si>
  <si>
    <t>2023-06-21</t>
  </si>
  <si>
    <t>2023-06-25</t>
  </si>
  <si>
    <t>2023-06-26</t>
  </si>
  <si>
    <t>2023-06-27</t>
  </si>
  <si>
    <t>2023-06-28</t>
  </si>
  <si>
    <t>2023-06-30</t>
  </si>
  <si>
    <t>2023-07-02</t>
  </si>
  <si>
    <t>2023-07</t>
  </si>
  <si>
    <t>2023-07-03</t>
  </si>
  <si>
    <t>2023-07-06</t>
  </si>
  <si>
    <t>2023-07-07</t>
  </si>
  <si>
    <t>2023-07-08</t>
  </si>
  <si>
    <t>2023-07-09</t>
  </si>
  <si>
    <t>2023-07-12</t>
  </si>
  <si>
    <t>2023-07-13</t>
  </si>
  <si>
    <t>2023-07-14</t>
  </si>
  <si>
    <t>2023-07-15</t>
  </si>
  <si>
    <t>2023-07-18</t>
  </si>
  <si>
    <t>2023-07-19</t>
  </si>
  <si>
    <t>2023-07-20</t>
  </si>
  <si>
    <t>2023-07-24</t>
  </si>
  <si>
    <t>2023-07-25</t>
  </si>
  <si>
    <t>2023-07-26</t>
  </si>
  <si>
    <t>2023-07-28</t>
  </si>
  <si>
    <t>2023-07-29</t>
  </si>
  <si>
    <t>2023-07-30</t>
  </si>
  <si>
    <t>2023-07-31</t>
  </si>
  <si>
    <t>2023-08-02</t>
  </si>
  <si>
    <t>2023-08</t>
  </si>
  <si>
    <t>2023-08-03</t>
  </si>
  <si>
    <t>2023-08-04</t>
  </si>
  <si>
    <t>2023-08-05</t>
  </si>
  <si>
    <t>2023-08-07</t>
  </si>
  <si>
    <t>2023-08-08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</si>
  <si>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</si>
  <si>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</si>
  <si>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</si>
  <si>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</si>
  <si>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</si>
  <si>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</si>
  <si>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</si>
  <si>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2023-08-20</t>
  </si>
  <si>
    <t>2023-08-24</t>
  </si>
  <si>
    <t>2023-08-25</t>
  </si>
  <si>
    <t>2023-08-26</t>
  </si>
  <si>
    <t>2023-08-27</t>
  </si>
  <si>
    <t>2023-08-28</t>
  </si>
  <si>
    <t>2023-08-29</t>
  </si>
  <si>
    <t>2023-08-31</t>
  </si>
  <si>
    <t>2023-09-06</t>
  </si>
  <si>
    <t>2023-09</t>
  </si>
  <si>
    <t>2023-09-07</t>
  </si>
  <si>
    <t>2023-09-09</t>
  </si>
  <si>
    <t>2023-09-10</t>
  </si>
  <si>
    <t>2023-09-12</t>
  </si>
  <si>
    <t>2023-09-13</t>
  </si>
  <si>
    <t>2023-09-14</t>
  </si>
  <si>
    <t>2023-09-18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</si>
  <si>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</si>
  <si>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</si>
  <si>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</si>
  <si>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</si>
  <si>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</si>
  <si>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</si>
  <si>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</si>
  <si>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2023-09-29</t>
  </si>
  <si>
    <t>2023-10-01</t>
  </si>
  <si>
    <t>2023-10</t>
  </si>
  <si>
    <t>2023-10-02</t>
  </si>
  <si>
    <t>2023-10-03</t>
  </si>
  <si>
    <t>2023-10-04</t>
  </si>
  <si>
    <t>2023-10-05</t>
  </si>
  <si>
    <t>2023-10-09</t>
  </si>
  <si>
    <t>2023-10-10</t>
  </si>
  <si>
    <t>2023-10-11</t>
  </si>
  <si>
    <t>2023-10-12</t>
  </si>
  <si>
    <t>2023-10-15</t>
  </si>
  <si>
    <t>2023-10-17</t>
  </si>
  <si>
    <t>2023-10-18</t>
  </si>
  <si>
    <t>2023-10-19</t>
  </si>
  <si>
    <t>2023-10-20</t>
  </si>
  <si>
    <t>2023-10-21</t>
  </si>
  <si>
    <t>2023-10-23</t>
  </si>
  <si>
    <t>2023-10-25</t>
  </si>
  <si>
    <t>2023-10-26</t>
  </si>
  <si>
    <t>2023-10-27</t>
  </si>
  <si>
    <t>2023-10-31</t>
  </si>
  <si>
    <t>2023-11-01</t>
  </si>
  <si>
    <t>2023-11</t>
  </si>
  <si>
    <t>2023-11-04</t>
  </si>
  <si>
    <t>2023-11-05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</si>
  <si>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</si>
  <si>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</si>
  <si>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</si>
  <si>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</si>
  <si>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</si>
  <si>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</si>
  <si>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</si>
  <si>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2023-11-19</t>
  </si>
  <si>
    <t>2023-11-21</t>
  </si>
  <si>
    <t>2023-11-27</t>
  </si>
  <si>
    <t>2023-11-28</t>
  </si>
  <si>
    <t>2023-12-01</t>
  </si>
  <si>
    <t>2023-12</t>
  </si>
  <si>
    <t>2023-12-02</t>
  </si>
  <si>
    <t>2023-12-05</t>
  </si>
  <si>
    <t>2023-12-06</t>
  </si>
  <si>
    <t>2023-12-07</t>
  </si>
  <si>
    <t>2023-12-08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</si>
  <si>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</si>
  <si>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</si>
  <si>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</si>
  <si>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</si>
  <si>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</si>
  <si>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</si>
  <si>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</si>
  <si>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2023-12-25</t>
  </si>
  <si>
    <t>2023-12-27</t>
  </si>
  <si>
    <t>2023-12-28</t>
  </si>
  <si>
    <t>2023-12-30</t>
  </si>
  <si>
    <t>2023-12-31</t>
  </si>
  <si>
    <t>DASHBOARD KPI KEUANGAN</t>
  </si>
  <si>
    <t>Total Revenue</t>
  </si>
  <si>
    <t>Total COGS</t>
  </si>
  <si>
    <t>Gross Profit</t>
  </si>
  <si>
    <t>Profit Margin</t>
  </si>
  <si>
    <t>Profit_Margin</t>
  </si>
  <si>
    <t>Status_Margin</t>
  </si>
  <si>
    <t>Target_Margin</t>
  </si>
  <si>
    <t>Row Labels</t>
  </si>
  <si>
    <t>Grand Total</t>
  </si>
  <si>
    <t>Sum of Revenue</t>
  </si>
  <si>
    <t>Sum of COGS</t>
  </si>
  <si>
    <t>Sum of Gross_Profit</t>
  </si>
  <si>
    <t>Total Cost</t>
  </si>
  <si>
    <t>Total Profit</t>
  </si>
  <si>
    <t>Monitoring Revenue, Cost, Profit, dan Profit Margin</t>
  </si>
  <si>
    <t>Filter Bulan</t>
  </si>
  <si>
    <t>BUSINESS INSIGHT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</si>
</sst>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-[$Rp-421]* #,##0.00_-;\-[$Rp-421]* #,##0.00_-;_-[$Rp-421]* &quot;-&quot;??_-;_-@_-"/>
  </numFmts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4"/>
      <color rgb="FF1F4E79"/>
      <name val="Arial"/>
    </font>
    <font>
      <b/>
      <sz val="9"/>
      <color rgb="FF666666"/>
      <name val="Arial"/>
    </font>
    <font>
      <b/>
      <sz val="16"/>
      <color rgb="FF1F4E79"/>
      <name val="Arial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4"/>
      <color rgb="FF1F4E79"/>
      <name val="Arial"/>
      <family val="2"/>
    </font>
    <font>
      <i/>
      <sz val="9"/>
      <color rgb="FF888888"/>
      <name val="Arial"/>
      <family val="2"/>
    </font>
    <font>
      <b/>
      <sz val="20"/>
      <color theme="3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9" fontId="0" fillId="0" borderId="0" xfId="1" applyFont="1"/>
    <xf numFmtId="10" fontId="1" fillId="2" borderId="0" xfId="1" applyNumberFormat="1" applyFont="1" applyFill="1" applyAlignment="1">
      <alignment horizontal="center"/>
    </xf>
    <xf numFmtId="10" fontId="0" fillId="0" borderId="0" xfId="1" applyNumberFormat="1" applyFont="1"/>
    <xf numFmtId="10" fontId="6" fillId="2" borderId="0" xfId="1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8" fillId="0" borderId="0" xfId="0" applyFont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/>
    <xf numFmtId="10" fontId="4" fillId="0" borderId="0" xfId="1" applyNumberFormat="1" applyFont="1"/>
    <xf numFmtId="169" fontId="4" fillId="0" borderId="0" xfId="0" applyNumberFormat="1" applyFont="1"/>
  </cellXfs>
  <cellStyles count="2">
    <cellStyle name="Normal" xfId="0" builtinId="0"/>
    <cellStyle name="Percent" xfId="1" builtinId="5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[project3_excel_kpi_dashboard.xlsx]Pivot Summary!PivotTable2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d-ID" b="1">
                <a:solidFill>
                  <a:schemeClr val="tx2"/>
                </a:solidFill>
              </a:rPr>
              <a:t>Tren Revenue, Cost, dan Profit Bulanan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Summary'!$B$3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Summary'!$A$4:$A$28</c:f>
              <c:strCache>
                <c:ptCount val="24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</c:strCache>
            </c:strRef>
          </c:cat>
          <c:val>
            <c:numRef>
              <c:f>'Pivot Summary'!$B$4:$B$28</c:f>
              <c:numCache>
                <c:formatCode>General</c:formatCode>
                <c:ptCount val="24"/>
                <c:pt idx="0">
                  <c:v>258200000</c:v>
                </c:pt>
                <c:pt idx="1">
                  <c:v>308000000</c:v>
                </c:pt>
                <c:pt idx="2">
                  <c:v>332200000</c:v>
                </c:pt>
                <c:pt idx="3">
                  <c:v>280300000</c:v>
                </c:pt>
                <c:pt idx="4">
                  <c:v>272500000</c:v>
                </c:pt>
                <c:pt idx="5">
                  <c:v>340400000</c:v>
                </c:pt>
                <c:pt idx="6">
                  <c:v>340300000</c:v>
                </c:pt>
                <c:pt idx="7">
                  <c:v>289300000</c:v>
                </c:pt>
                <c:pt idx="8">
                  <c:v>304600000</c:v>
                </c:pt>
                <c:pt idx="9">
                  <c:v>278200000</c:v>
                </c:pt>
                <c:pt idx="10">
                  <c:v>222800000</c:v>
                </c:pt>
                <c:pt idx="11">
                  <c:v>185100000</c:v>
                </c:pt>
                <c:pt idx="12">
                  <c:v>290900000</c:v>
                </c:pt>
                <c:pt idx="13">
                  <c:v>403700000</c:v>
                </c:pt>
                <c:pt idx="14">
                  <c:v>205400000</c:v>
                </c:pt>
                <c:pt idx="15">
                  <c:v>363700000</c:v>
                </c:pt>
                <c:pt idx="16">
                  <c:v>286000000</c:v>
                </c:pt>
                <c:pt idx="17">
                  <c:v>338700000</c:v>
                </c:pt>
                <c:pt idx="18">
                  <c:v>340900000</c:v>
                </c:pt>
                <c:pt idx="19">
                  <c:v>341000000</c:v>
                </c:pt>
                <c:pt idx="20">
                  <c:v>246000000</c:v>
                </c:pt>
                <c:pt idx="21">
                  <c:v>274000000</c:v>
                </c:pt>
                <c:pt idx="22">
                  <c:v>202600000</c:v>
                </c:pt>
                <c:pt idx="23">
                  <c:v>411900000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39-474E-BDF8-25BACD70AA1A}"/>
            </c:ext>
          </c:extLst>
        </c:ser>
        <c:ser>
          <c:idx val="1"/>
          <c:order val="1"/>
          <c:tx>
            <c:strRef>
              <c:f>'Pivot Summary'!$C$3</c:f>
              <c:strCache>
                <c:ptCount val="1"/>
                <c:pt idx="0">
                  <c:v>Total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Summary'!$A$4:$A$28</c:f>
              <c:strCache>
                <c:ptCount val="24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</c:strCache>
            </c:strRef>
          </c:cat>
          <c:val>
            <c:numRef>
              <c:f>'Pivot Summary'!$C$4:$C$28</c:f>
              <c:numCache>
                <c:formatCode>General</c:formatCode>
                <c:ptCount val="24"/>
                <c:pt idx="0">
                  <c:v>120786579</c:v>
                </c:pt>
                <c:pt idx="1">
                  <c:v>145616200</c:v>
                </c:pt>
                <c:pt idx="2">
                  <c:v>156189424</c:v>
                </c:pt>
                <c:pt idx="3">
                  <c:v>128607617</c:v>
                </c:pt>
                <c:pt idx="4">
                  <c:v>131313572</c:v>
                </c:pt>
                <c:pt idx="5">
                  <c:v>160838376</c:v>
                </c:pt>
                <c:pt idx="6">
                  <c:v>156765570</c:v>
                </c:pt>
                <c:pt idx="7">
                  <c:v>130321522</c:v>
                </c:pt>
                <c:pt idx="8">
                  <c:v>144891391</c:v>
                </c:pt>
                <c:pt idx="9">
                  <c:v>131987416</c:v>
                </c:pt>
                <c:pt idx="10">
                  <c:v>111734471</c:v>
                </c:pt>
                <c:pt idx="11">
                  <c:v>89399020</c:v>
                </c:pt>
                <c:pt idx="12">
                  <c:v>133880293</c:v>
                </c:pt>
                <c:pt idx="13">
                  <c:v>198797898</c:v>
                </c:pt>
                <c:pt idx="14">
                  <c:v>90978699</c:v>
                </c:pt>
                <c:pt idx="15">
                  <c:v>173134543</c:v>
                </c:pt>
                <c:pt idx="16">
                  <c:v>131134124</c:v>
                </c:pt>
                <c:pt idx="17">
                  <c:v>161349489</c:v>
                </c:pt>
                <c:pt idx="18">
                  <c:v>162380916</c:v>
                </c:pt>
                <c:pt idx="19">
                  <c:v>157574604</c:v>
                </c:pt>
                <c:pt idx="20">
                  <c:v>117064113</c:v>
                </c:pt>
                <c:pt idx="21">
                  <c:v>128526614</c:v>
                </c:pt>
                <c:pt idx="22">
                  <c:v>94356155</c:v>
                </c:pt>
                <c:pt idx="23">
                  <c:v>197943776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39-474E-BDF8-25BACD70AA1A}"/>
            </c:ext>
          </c:extLst>
        </c:ser>
        <c:ser>
          <c:idx val="2"/>
          <c:order val="2"/>
          <c:tx>
            <c:strRef>
              <c:f>'Pivot Summary'!$D$3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Summary'!$A$4:$A$28</c:f>
              <c:strCache>
                <c:ptCount val="24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</c:strCache>
            </c:strRef>
          </c:cat>
          <c:val>
            <c:numRef>
              <c:f>'Pivot Summary'!$D$4:$D$28</c:f>
              <c:numCache>
                <c:formatCode>General</c:formatCode>
                <c:ptCount val="24"/>
                <c:pt idx="0">
                  <c:v>137413421</c:v>
                </c:pt>
                <c:pt idx="1">
                  <c:v>162383800</c:v>
                </c:pt>
                <c:pt idx="2">
                  <c:v>176010576</c:v>
                </c:pt>
                <c:pt idx="3">
                  <c:v>151692383</c:v>
                </c:pt>
                <c:pt idx="4">
                  <c:v>141186428</c:v>
                </c:pt>
                <c:pt idx="5">
                  <c:v>179561624</c:v>
                </c:pt>
                <c:pt idx="6">
                  <c:v>183534430</c:v>
                </c:pt>
                <c:pt idx="7">
                  <c:v>158978478</c:v>
                </c:pt>
                <c:pt idx="8">
                  <c:v>159708609</c:v>
                </c:pt>
                <c:pt idx="9">
                  <c:v>146212584</c:v>
                </c:pt>
                <c:pt idx="10">
                  <c:v>111065529</c:v>
                </c:pt>
                <c:pt idx="11">
                  <c:v>95700980</c:v>
                </c:pt>
                <c:pt idx="12">
                  <c:v>157019707</c:v>
                </c:pt>
                <c:pt idx="13">
                  <c:v>204902102</c:v>
                </c:pt>
                <c:pt idx="14">
                  <c:v>114421301</c:v>
                </c:pt>
                <c:pt idx="15">
                  <c:v>190565457</c:v>
                </c:pt>
                <c:pt idx="16">
                  <c:v>154865876</c:v>
                </c:pt>
                <c:pt idx="17">
                  <c:v>177350511</c:v>
                </c:pt>
                <c:pt idx="18">
                  <c:v>178519084</c:v>
                </c:pt>
                <c:pt idx="19">
                  <c:v>183425396</c:v>
                </c:pt>
                <c:pt idx="20">
                  <c:v>128935887</c:v>
                </c:pt>
                <c:pt idx="21">
                  <c:v>145473386</c:v>
                </c:pt>
                <c:pt idx="22">
                  <c:v>108243845</c:v>
                </c:pt>
                <c:pt idx="23">
                  <c:v>213956224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39-474E-BDF8-25BACD70A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2912576"/>
        <c:axId val="2112917376"/>
      </c:lineChart>
      <c:catAx>
        <c:axId val="211291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12917376"/>
        <c:crosses val="autoZero"/>
        <c:auto val="1"/>
        <c:lblAlgn val="ctr"/>
        <c:lblOffset val="100"/>
        <c:noMultiLvlLbl val="0"/>
      </c:catAx>
      <c:valAx>
        <c:axId val="211291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1291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[project3_excel_kpi_dashboard.xlsx]Pivot Summary!PivotTable3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d-ID" b="1">
                <a:solidFill>
                  <a:schemeClr val="tx2"/>
                </a:solidFill>
              </a:rPr>
              <a:t>Perbandingan Revenue, Cost, dan Profit per Kategori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Summary'!$H$3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Summary'!$G$4:$G$7</c:f>
              <c:strCache>
                <c:ptCount val="3"/>
                <c:pt idx="0">
                  <c:v>Jasa</c:v>
                </c:pt>
                <c:pt idx="1">
                  <c:v>Produk Digital</c:v>
                </c:pt>
                <c:pt idx="2">
                  <c:v>Produk Fisik</c:v>
                </c:pt>
              </c:strCache>
            </c:strRef>
          </c:cat>
          <c:val>
            <c:numRef>
              <c:f>'Pivot Summary'!$H$4:$H$7</c:f>
              <c:numCache>
                <c:formatCode>General</c:formatCode>
                <c:ptCount val="3"/>
                <c:pt idx="0">
                  <c:v>2048000000</c:v>
                </c:pt>
                <c:pt idx="1">
                  <c:v>2688500000</c:v>
                </c:pt>
                <c:pt idx="2">
                  <c:v>2380200000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1-4C83-B945-D36983B023AE}"/>
            </c:ext>
          </c:extLst>
        </c:ser>
        <c:ser>
          <c:idx val="1"/>
          <c:order val="1"/>
          <c:tx>
            <c:strRef>
              <c:f>'Pivot Summary'!$I$3</c:f>
              <c:strCache>
                <c:ptCount val="1"/>
                <c:pt idx="0">
                  <c:v>Sum of COGS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Summary'!$G$4:$G$7</c:f>
              <c:strCache>
                <c:ptCount val="3"/>
                <c:pt idx="0">
                  <c:v>Jasa</c:v>
                </c:pt>
                <c:pt idx="1">
                  <c:v>Produk Digital</c:v>
                </c:pt>
                <c:pt idx="2">
                  <c:v>Produk Fisik</c:v>
                </c:pt>
              </c:strCache>
            </c:strRef>
          </c:cat>
          <c:val>
            <c:numRef>
              <c:f>'Pivot Summary'!$I$4:$I$7</c:f>
              <c:numCache>
                <c:formatCode>General</c:formatCode>
                <c:ptCount val="3"/>
                <c:pt idx="0">
                  <c:v>960816359</c:v>
                </c:pt>
                <c:pt idx="1">
                  <c:v>1275304019</c:v>
                </c:pt>
                <c:pt idx="2">
                  <c:v>1119452004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51-4C83-B945-D36983B023AE}"/>
            </c:ext>
          </c:extLst>
        </c:ser>
        <c:ser>
          <c:idx val="2"/>
          <c:order val="2"/>
          <c:tx>
            <c:strRef>
              <c:f>'Pivot Summary'!$J$3</c:f>
              <c:strCache>
                <c:ptCount val="1"/>
                <c:pt idx="0">
                  <c:v>Sum of Gross_Profit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Summary'!$G$4:$G$7</c:f>
              <c:strCache>
                <c:ptCount val="3"/>
                <c:pt idx="0">
                  <c:v>Jasa</c:v>
                </c:pt>
                <c:pt idx="1">
                  <c:v>Produk Digital</c:v>
                </c:pt>
                <c:pt idx="2">
                  <c:v>Produk Fisik</c:v>
                </c:pt>
              </c:strCache>
            </c:strRef>
          </c:cat>
          <c:val>
            <c:numRef>
              <c:f>'Pivot Summary'!$J$4:$J$7</c:f>
              <c:numCache>
                <c:formatCode>General</c:formatCode>
                <c:ptCount val="3"/>
                <c:pt idx="0">
                  <c:v>1087183641</c:v>
                </c:pt>
                <c:pt idx="1">
                  <c:v>1413195981</c:v>
                </c:pt>
                <c:pt idx="2">
                  <c:v>1260747996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51-4C83-B945-D36983B02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2926016"/>
        <c:axId val="2112945216"/>
      </c:barChart>
      <c:catAx>
        <c:axId val="211292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12945216"/>
        <c:crosses val="autoZero"/>
        <c:auto val="1"/>
        <c:lblAlgn val="ctr"/>
        <c:lblOffset val="100"/>
        <c:noMultiLvlLbl val="0"/>
      </c:catAx>
      <c:valAx>
        <c:axId val="211294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1292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853440</xdr:colOff>
      <xdr:row>7</xdr:row>
      <xdr:rowOff>22860</xdr:rowOff>
    </xdr:from>
    <xdr:to>
      <xdr:col>8</xdr:col>
      <xdr:colOff>1173480</xdr:colOff>
      <xdr:row>20</xdr:row>
      <xdr:rowOff>15240</xdr:rowOff>
    </xdr:to>
    <xdr:graphicFrame macro="">
      <xdr:nvGraphicFramePr>
        <xdr:cNvPr id="3" name="Tren Revenue, Cost, dan Profit Bulanan">
          <a:extLst>
            <a:ext uri="{FF2B5EF4-FFF2-40B4-BE49-F238E27FC236}">
              <a16:creationId xmlns:a16="http://schemas.microsoft.com/office/drawing/2014/main" id="{6B018F0C-19D0-463A-92C4-81CC7F919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9</xdr:col>
      <xdr:colOff>22860</xdr:colOff>
      <xdr:row>34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C643A4-10E5-4C4E-9425-50ED88E3E4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en rhalasya" refreshedDate="46182.613639120369" createdVersion="8" refreshedVersion="8" minRefreshableVersion="3" recordCount="700" xr:uid="{0E90FB4C-81A2-4262-9BA6-A14E3FA60922}">
  <cacheSource type="worksheet">
    <worksheetSource name="tbl_raw"/>
  </cacheSource>
  <cacheFields count="14">
    <cacheField name="Tanggal" numFmtId="0">
      <sharedItems/>
    </cacheField>
    <cacheField name="Bulan" numFmtId="0">
      <sharedItems count="24"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</sharedItems>
    </cacheField>
    <cacheField name="Kategori" numFmtId="0">
      <sharedItems count="3">
        <s v="Produk Fisik"/>
        <s v="Jasa"/>
        <s v="Produk Digital"/>
      </sharedItems>
    </cacheField>
    <cacheField name="Sub-Kategori" numFmtId="0">
      <sharedItems/>
    </cacheField>
    <cacheField name="Revenue" numFmtId="0">
      <sharedItems containsSemiMixedTypes="0" containsString="0" containsNumber="1" containsInteger="1" minValue="500000" maxValue="20000000"/>
    </cacheField>
    <cacheField name="COGS" numFmtId="0">
      <sharedItems containsSemiMixedTypes="0" containsString="0" containsNumber="1" containsInteger="1" minValue="188074" maxValue="11735973"/>
    </cacheField>
    <cacheField name="Gross_Profit" numFmtId="0">
      <sharedItems containsSemiMixedTypes="0" containsString="0" containsNumber="1" containsInteger="1" minValue="257627" maxValue="12708810"/>
    </cacheField>
    <cacheField name="Profit_Margin" numFmtId="10">
      <sharedItems containsSemiMixedTypes="0" containsString="0" containsNumber="1" minValue="0.40006036363636366" maxValue="0.64994672839506173"/>
    </cacheField>
    <cacheField name="Status_Margin" numFmtId="10">
      <sharedItems/>
    </cacheField>
    <cacheField name="Target_Margin" numFmtId="10">
      <sharedItems containsSemiMixedTypes="0" containsString="0" containsNumber="1" minValue="0.25" maxValue="0.4"/>
    </cacheField>
    <cacheField name="Region" numFmtId="0">
      <sharedItems/>
    </cacheField>
    <cacheField name="Sales_Rep" numFmtId="0">
      <sharedItems/>
    </cacheField>
    <cacheField name="Target_Revenue" numFmtId="0">
      <sharedItems containsSemiMixedTypes="0" containsString="0" containsNumber="1" containsInteger="1" minValue="492862" maxValue="25340691"/>
    </cacheField>
    <cacheField name="Field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2022-01-01"/>
    <x v="0"/>
    <x v="0"/>
    <s v="Bundle"/>
    <n v="9400000"/>
    <n v="5486438"/>
    <n v="3913562"/>
    <n v="0.41633638297872338"/>
    <s v="Excellent"/>
    <n v="0.25"/>
    <s v="Bali &amp; NTT"/>
    <s v="Citra W."/>
    <n v="11060638"/>
  </r>
  <r>
    <s v="2022-01-03"/>
    <x v="0"/>
    <x v="0"/>
    <s v="Hardware"/>
    <n v="1300000"/>
    <n v="498382"/>
    <n v="801618"/>
    <n v="0.61662923076923082"/>
    <s v="Excellent"/>
    <n v="0.25"/>
    <s v="Kalimantan"/>
    <s v="Fani A."/>
    <n v="1679405"/>
  </r>
  <r>
    <s v="2022-01-03"/>
    <x v="0"/>
    <x v="1"/>
    <s v="Training"/>
    <n v="6700000"/>
    <n v="2977975"/>
    <n v="3722025"/>
    <n v="0.55552611940298502"/>
    <s v="Excellent"/>
    <n v="0.4"/>
    <s v="Jawa"/>
    <s v="Fani A."/>
    <n v="7492837"/>
  </r>
  <r>
    <s v="2022-01-03"/>
    <x v="0"/>
    <x v="2"/>
    <s v="API Services"/>
    <n v="4900000"/>
    <n v="2254173"/>
    <n v="2645827"/>
    <n v="0.53996469387755097"/>
    <s v="Excellent"/>
    <n v="0.35"/>
    <s v="Kalimantan"/>
    <s v="Dian P."/>
    <n v="4317119"/>
  </r>
  <r>
    <s v="2022-01-04"/>
    <x v="0"/>
    <x v="2"/>
    <s v="Software"/>
    <n v="7000000"/>
    <n v="4073659"/>
    <n v="2926341"/>
    <n v="0.41804871428571427"/>
    <s v="Excellent"/>
    <n v="0.35"/>
    <s v="Bali &amp; NTT"/>
    <s v="Eko F."/>
    <n v="7191661"/>
  </r>
  <r>
    <s v="2022-01-07"/>
    <x v="0"/>
    <x v="1"/>
    <s v="Konsultasi"/>
    <n v="18700000"/>
    <n v="10072130"/>
    <n v="8627870"/>
    <n v="0.46138342245989306"/>
    <s v="Excellent"/>
    <n v="0.4"/>
    <s v="Jawa"/>
    <s v="Budi R."/>
    <n v="20452635"/>
  </r>
  <r>
    <s v="2022-01-07"/>
    <x v="0"/>
    <x v="0"/>
    <s v="Aksesoris"/>
    <n v="3800000"/>
    <n v="1553259"/>
    <n v="2246741"/>
    <n v="0.59124763157894733"/>
    <s v="Excellent"/>
    <n v="0.25"/>
    <s v="Bali &amp; NTT"/>
    <s v="Fani A."/>
    <n v="4017085"/>
  </r>
  <r>
    <s v="2022-01-11"/>
    <x v="0"/>
    <x v="2"/>
    <s v="Software"/>
    <n v="1100000"/>
    <n v="659247"/>
    <n v="440753"/>
    <n v="0.40068454545454546"/>
    <s v="Excellent"/>
    <n v="0.35"/>
    <s v="Jawa"/>
    <s v="Fani A."/>
    <n v="896169"/>
  </r>
  <r>
    <s v="2022-01-11"/>
    <x v="0"/>
    <x v="2"/>
    <s v="Software"/>
    <n v="17800000"/>
    <n v="6682371"/>
    <n v="11117629"/>
    <n v="0.62458589887640448"/>
    <s v="Excellent"/>
    <n v="0.35"/>
    <s v="Jawa"/>
    <s v="Gilang T."/>
    <n v="19606051"/>
  </r>
  <r>
    <s v="2022-01-13"/>
    <x v="0"/>
    <x v="0"/>
    <s v="Hardware"/>
    <n v="1000000"/>
    <n v="564382"/>
    <n v="435618"/>
    <n v="0.43561800000000001"/>
    <s v="Excellent"/>
    <n v="0.25"/>
    <s v="Sulawesi"/>
    <s v="Gilang T."/>
    <n v="1041636"/>
  </r>
  <r>
    <s v="2022-01-14"/>
    <x v="0"/>
    <x v="1"/>
    <s v="Training"/>
    <n v="16300000"/>
    <n v="5991809"/>
    <n v="10308191"/>
    <n v="0.63240435582822085"/>
    <s v="Excellent"/>
    <n v="0.4"/>
    <s v="Sulawesi"/>
    <s v="Fani A."/>
    <n v="17789452"/>
  </r>
  <r>
    <s v="2022-01-15"/>
    <x v="0"/>
    <x v="2"/>
    <s v="Software"/>
    <n v="19000000"/>
    <n v="7765313"/>
    <n v="11234687"/>
    <n v="0.5912993157894737"/>
    <s v="Excellent"/>
    <n v="0.35"/>
    <s v="Bali &amp; NTT"/>
    <s v="Eko F."/>
    <n v="23463022"/>
  </r>
  <r>
    <s v="2022-01-17"/>
    <x v="0"/>
    <x v="1"/>
    <s v="Support"/>
    <n v="16800000"/>
    <n v="9189574"/>
    <n v="7610426"/>
    <n v="0.4530015476190476"/>
    <s v="Excellent"/>
    <n v="0.4"/>
    <s v="Jawa"/>
    <s v="Hani M."/>
    <n v="19898767"/>
  </r>
  <r>
    <s v="2022-01-18"/>
    <x v="0"/>
    <x v="0"/>
    <s v="Aksesoris"/>
    <n v="6500000"/>
    <n v="3774135"/>
    <n v="2725865"/>
    <n v="0.41936384615384614"/>
    <s v="Excellent"/>
    <n v="0.25"/>
    <s v="Bali &amp; NTT"/>
    <s v="Fani A."/>
    <n v="7297572"/>
  </r>
  <r>
    <s v="2022-01-20"/>
    <x v="0"/>
    <x v="0"/>
    <s v="Bundle"/>
    <n v="2900000"/>
    <n v="1293503"/>
    <n v="1606497"/>
    <n v="0.55396448275862065"/>
    <s v="Excellent"/>
    <n v="0.25"/>
    <s v="Kalimantan"/>
    <s v="Budi R."/>
    <n v="2535115"/>
  </r>
  <r>
    <s v="2022-01-21"/>
    <x v="0"/>
    <x v="1"/>
    <s v="Training"/>
    <n v="15100000"/>
    <n v="7719082"/>
    <n v="7380918"/>
    <n v="0.48880251655629137"/>
    <s v="Excellent"/>
    <n v="0.4"/>
    <s v="Bali &amp; NTT"/>
    <s v="Gilang T."/>
    <n v="14212636"/>
  </r>
  <r>
    <s v="2022-01-23"/>
    <x v="0"/>
    <x v="0"/>
    <s v="Bundle"/>
    <n v="9300000"/>
    <n v="4090885"/>
    <n v="5209115"/>
    <n v="0.56011989247311833"/>
    <s v="Excellent"/>
    <n v="0.25"/>
    <s v="Sulawesi"/>
    <s v="Hani M."/>
    <n v="7535297"/>
  </r>
  <r>
    <s v="2022-01-24"/>
    <x v="0"/>
    <x v="2"/>
    <s v="API Services"/>
    <n v="15200000"/>
    <n v="5956424"/>
    <n v="9243576"/>
    <n v="0.60812999999999995"/>
    <s v="Excellent"/>
    <n v="0.35"/>
    <s v="Bali &amp; NTT"/>
    <s v="Fani A."/>
    <n v="19204149"/>
  </r>
  <r>
    <s v="2022-01-25"/>
    <x v="0"/>
    <x v="1"/>
    <s v="Training"/>
    <n v="3000000"/>
    <n v="1269207"/>
    <n v="1730793"/>
    <n v="0.57693099999999997"/>
    <s v="Excellent"/>
    <n v="0.4"/>
    <s v="Jawa"/>
    <s v="Hani M."/>
    <n v="3018215"/>
  </r>
  <r>
    <s v="2022-01-25"/>
    <x v="0"/>
    <x v="1"/>
    <s v="Support"/>
    <n v="18300000"/>
    <n v="8303344"/>
    <n v="9996656"/>
    <n v="0.54626535519125685"/>
    <s v="Excellent"/>
    <n v="0.4"/>
    <s v="Sumatera"/>
    <s v="Andi S."/>
    <n v="15261848"/>
  </r>
  <r>
    <s v="2022-01-25"/>
    <x v="0"/>
    <x v="0"/>
    <s v="Aksesoris"/>
    <n v="9000000"/>
    <n v="4946650"/>
    <n v="4053350"/>
    <n v="0.45037222222222223"/>
    <s v="Excellent"/>
    <n v="0.25"/>
    <s v="Bali &amp; NTT"/>
    <s v="Fani A."/>
    <n v="9271309"/>
  </r>
  <r>
    <s v="2022-01-27"/>
    <x v="0"/>
    <x v="0"/>
    <s v="Bundle"/>
    <n v="1600000"/>
    <n v="727515"/>
    <n v="872485"/>
    <n v="0.545303125"/>
    <s v="Excellent"/>
    <n v="0.25"/>
    <s v="Jawa"/>
    <s v="Citra W."/>
    <n v="1536158"/>
  </r>
  <r>
    <s v="2022-01-28"/>
    <x v="0"/>
    <x v="1"/>
    <s v="Konsultasi"/>
    <n v="16500000"/>
    <n v="8133279"/>
    <n v="8366721"/>
    <n v="0.50707400000000002"/>
    <s v="Excellent"/>
    <n v="0.4"/>
    <s v="Sumatera"/>
    <s v="Citra W."/>
    <n v="18705213"/>
  </r>
  <r>
    <s v="2022-01-28"/>
    <x v="0"/>
    <x v="0"/>
    <s v="Hardware"/>
    <n v="18000000"/>
    <n v="8350329"/>
    <n v="9649671"/>
    <n v="0.53609283333333335"/>
    <s v="Excellent"/>
    <n v="0.25"/>
    <s v="Sumatera"/>
    <s v="Budi R."/>
    <n v="17283403"/>
  </r>
  <r>
    <s v="2022-01-29"/>
    <x v="0"/>
    <x v="1"/>
    <s v="Support"/>
    <n v="13000000"/>
    <n v="5950197"/>
    <n v="7049803"/>
    <n v="0.54229253846153846"/>
    <s v="Excellent"/>
    <n v="0.4"/>
    <s v="Sumatera"/>
    <s v="Gilang T."/>
    <n v="15368373"/>
  </r>
  <r>
    <s v="2022-01-30"/>
    <x v="0"/>
    <x v="0"/>
    <s v="Hardware"/>
    <n v="4900000"/>
    <n v="1905109"/>
    <n v="2994891"/>
    <n v="0.61120224489795916"/>
    <s v="Excellent"/>
    <n v="0.25"/>
    <s v="Bali &amp; NTT"/>
    <s v="Dian P."/>
    <n v="6260222"/>
  </r>
  <r>
    <s v="2022-01-31"/>
    <x v="0"/>
    <x v="2"/>
    <s v="Software"/>
    <n v="1100000"/>
    <n v="598208"/>
    <n v="501792"/>
    <n v="0.45617454545454544"/>
    <s v="Excellent"/>
    <n v="0.35"/>
    <s v="Jawa"/>
    <s v="Budi R."/>
    <n v="1259985"/>
  </r>
  <r>
    <s v="2022-02-01"/>
    <x v="1"/>
    <x v="1"/>
    <s v="Konsultasi"/>
    <n v="4700000"/>
    <n v="1973526"/>
    <n v="2726474"/>
    <n v="0.5801008510638298"/>
    <s v="Excellent"/>
    <n v="0.4"/>
    <s v="Kalimantan"/>
    <s v="Fani A."/>
    <n v="5033159"/>
  </r>
  <r>
    <s v="2022-02-02"/>
    <x v="1"/>
    <x v="2"/>
    <s v="Subscription"/>
    <n v="10800000"/>
    <n v="4899970"/>
    <n v="5900030"/>
    <n v="0.54629907407407408"/>
    <s v="Excellent"/>
    <n v="0.35"/>
    <s v="Kalimantan"/>
    <s v="Andi S."/>
    <n v="9180902"/>
  </r>
  <r>
    <s v="2022-02-04"/>
    <x v="1"/>
    <x v="1"/>
    <s v="Konsultasi"/>
    <n v="16700000"/>
    <n v="8487796"/>
    <n v="8212204"/>
    <n v="0.49174874251497008"/>
    <s v="Excellent"/>
    <n v="0.4"/>
    <s v="Sumatera"/>
    <s v="Budi R."/>
    <n v="17998809"/>
  </r>
  <r>
    <s v="2022-02-07"/>
    <x v="1"/>
    <x v="1"/>
    <s v="Support"/>
    <n v="19200000"/>
    <n v="8130952"/>
    <n v="11069048"/>
    <n v="0.57651291666666671"/>
    <s v="Excellent"/>
    <n v="0.4"/>
    <s v="Sulawesi"/>
    <s v="Andi S."/>
    <n v="20348930"/>
  </r>
  <r>
    <s v="2022-02-08"/>
    <x v="1"/>
    <x v="2"/>
    <s v="API Services"/>
    <n v="17200000"/>
    <n v="7149585"/>
    <n v="10050415"/>
    <n v="0.58432645348837209"/>
    <s v="Excellent"/>
    <n v="0.35"/>
    <s v="Bali &amp; NTT"/>
    <s v="Budi R."/>
    <n v="15789186"/>
  </r>
  <r>
    <s v="2022-02-09"/>
    <x v="1"/>
    <x v="2"/>
    <s v="Software"/>
    <n v="18000000"/>
    <n v="7351478"/>
    <n v="10648522"/>
    <n v="0.59158455555555556"/>
    <s v="Excellent"/>
    <n v="0.35"/>
    <s v="Bali &amp; NTT"/>
    <s v="Andi S."/>
    <n v="17830920"/>
  </r>
  <r>
    <s v="2022-02-09"/>
    <x v="1"/>
    <x v="2"/>
    <s v="Software"/>
    <n v="8100000"/>
    <n v="4181267"/>
    <n v="3918733"/>
    <n v="0.48379419753086422"/>
    <s v="Excellent"/>
    <n v="0.35"/>
    <s v="Kalimantan"/>
    <s v="Gilang T."/>
    <n v="10523532"/>
  </r>
  <r>
    <s v="2022-02-09"/>
    <x v="1"/>
    <x v="2"/>
    <s v="Software"/>
    <n v="19300000"/>
    <n v="10578956"/>
    <n v="8721044"/>
    <n v="0.45186756476683937"/>
    <s v="Excellent"/>
    <n v="0.35"/>
    <s v="Jawa"/>
    <s v="Hani M."/>
    <n v="20784588"/>
  </r>
  <r>
    <s v="2022-02-10"/>
    <x v="1"/>
    <x v="0"/>
    <s v="Bundle"/>
    <n v="11700000"/>
    <n v="6587781"/>
    <n v="5112219"/>
    <n v="0.43694179487179485"/>
    <s v="Excellent"/>
    <n v="0.25"/>
    <s v="Bali &amp; NTT"/>
    <s v="Andi S."/>
    <n v="12714067"/>
  </r>
  <r>
    <s v="2022-02-11"/>
    <x v="1"/>
    <x v="0"/>
    <s v="Aksesoris"/>
    <n v="3300000"/>
    <n v="1672191"/>
    <n v="1627809"/>
    <n v="0.49327545454545457"/>
    <s v="Excellent"/>
    <n v="0.25"/>
    <s v="Sumatera"/>
    <s v="Hani M."/>
    <n v="3342752"/>
  </r>
  <r>
    <s v="2022-02-12"/>
    <x v="1"/>
    <x v="0"/>
    <s v="Hardware"/>
    <n v="19500000"/>
    <n v="11373782"/>
    <n v="8126218"/>
    <n v="0.4167291282051282"/>
    <s v="Excellent"/>
    <n v="0.25"/>
    <s v="Bali &amp; NTT"/>
    <s v="Eko F."/>
    <n v="17604436"/>
  </r>
  <r>
    <s v="2022-02-12"/>
    <x v="1"/>
    <x v="2"/>
    <s v="Subscription"/>
    <n v="3200000"/>
    <n v="1558792"/>
    <n v="1641208"/>
    <n v="0.51287749999999999"/>
    <s v="Excellent"/>
    <n v="0.35"/>
    <s v="Jawa"/>
    <s v="Gilang T."/>
    <n v="2989462"/>
  </r>
  <r>
    <s v="2022-02-12"/>
    <x v="1"/>
    <x v="2"/>
    <s v="Subscription"/>
    <n v="5300000"/>
    <n v="1859931"/>
    <n v="3440069"/>
    <n v="0.64906962264150947"/>
    <s v="Excellent"/>
    <n v="0.35"/>
    <s v="Kalimantan"/>
    <s v="Fani A."/>
    <n v="5181866"/>
  </r>
  <r>
    <s v="2022-02-13"/>
    <x v="1"/>
    <x v="2"/>
    <s v="Software"/>
    <n v="19900000"/>
    <n v="8122511"/>
    <n v="11777489"/>
    <n v="0.59183361809045221"/>
    <s v="Excellent"/>
    <n v="0.35"/>
    <s v="Sumatera"/>
    <s v="Fani A."/>
    <n v="17438675"/>
  </r>
  <r>
    <s v="2022-02-14"/>
    <x v="1"/>
    <x v="0"/>
    <s v="Hardware"/>
    <n v="6200000"/>
    <n v="2697109"/>
    <n v="3502891"/>
    <n v="0.56498241935483873"/>
    <s v="Excellent"/>
    <n v="0.25"/>
    <s v="Sulawesi"/>
    <s v="Dian P."/>
    <n v="7077402"/>
  </r>
  <r>
    <s v="2022-02-14"/>
    <x v="1"/>
    <x v="0"/>
    <s v="Aksesoris"/>
    <n v="14700000"/>
    <n v="7023085"/>
    <n v="7676915"/>
    <n v="0.52223911564625847"/>
    <s v="Excellent"/>
    <n v="0.25"/>
    <s v="Jawa"/>
    <s v="Citra W."/>
    <n v="14704470"/>
  </r>
  <r>
    <s v="2022-02-15"/>
    <x v="1"/>
    <x v="0"/>
    <s v="Bundle"/>
    <n v="7500000"/>
    <n v="3639515"/>
    <n v="3860485"/>
    <n v="0.51473133333333332"/>
    <s v="Excellent"/>
    <n v="0.25"/>
    <s v="Jawa"/>
    <s v="Hani M."/>
    <n v="8464863"/>
  </r>
  <r>
    <s v="2022-02-16"/>
    <x v="1"/>
    <x v="0"/>
    <s v="Hardware"/>
    <n v="18100000"/>
    <n v="6861397"/>
    <n v="11238603"/>
    <n v="0.6209172928176796"/>
    <s v="Excellent"/>
    <n v="0.25"/>
    <s v="Sumatera"/>
    <s v="Fani A."/>
    <n v="17108497"/>
  </r>
  <r>
    <s v="2022-02-17"/>
    <x v="1"/>
    <x v="1"/>
    <s v="Support"/>
    <n v="2900000"/>
    <n v="1099471"/>
    <n v="1800529"/>
    <n v="0.62087206896551728"/>
    <s v="Excellent"/>
    <n v="0.4"/>
    <s v="Jawa"/>
    <s v="Andi S."/>
    <n v="2506740"/>
  </r>
  <r>
    <s v="2022-02-18"/>
    <x v="1"/>
    <x v="0"/>
    <s v="Aksesoris"/>
    <n v="18300000"/>
    <n v="10938713"/>
    <n v="7361287"/>
    <n v="0.40225612021857926"/>
    <s v="Excellent"/>
    <n v="0.25"/>
    <s v="Sumatera"/>
    <s v="Dian P."/>
    <n v="17048039"/>
  </r>
  <r>
    <s v="2022-02-20"/>
    <x v="1"/>
    <x v="2"/>
    <s v="API Services"/>
    <n v="17200000"/>
    <n v="8820707"/>
    <n v="8379293"/>
    <n v="0.4871681976744186"/>
    <s v="Excellent"/>
    <n v="0.35"/>
    <s v="Sumatera"/>
    <s v="Eko F."/>
    <n v="16349741"/>
  </r>
  <r>
    <s v="2022-02-22"/>
    <x v="1"/>
    <x v="2"/>
    <s v="Software"/>
    <n v="9100000"/>
    <n v="4440101"/>
    <n v="4659899"/>
    <n v="0.5120768131868132"/>
    <s v="Excellent"/>
    <n v="0.35"/>
    <s v="Sulawesi"/>
    <s v="Gilang T."/>
    <n v="7993073"/>
  </r>
  <r>
    <s v="2022-02-24"/>
    <x v="1"/>
    <x v="0"/>
    <s v="Aksesoris"/>
    <n v="10300000"/>
    <n v="5889144"/>
    <n v="4410856"/>
    <n v="0.42823844660194177"/>
    <s v="Excellent"/>
    <n v="0.25"/>
    <s v="Jawa"/>
    <s v="Eko F."/>
    <n v="12731381"/>
  </r>
  <r>
    <s v="2022-02-24"/>
    <x v="1"/>
    <x v="0"/>
    <s v="Hardware"/>
    <n v="6600000"/>
    <n v="2986802"/>
    <n v="3613198"/>
    <n v="0.54745424242424245"/>
    <s v="Excellent"/>
    <n v="0.25"/>
    <s v="Bali &amp; NTT"/>
    <s v="Hani M."/>
    <n v="8104884"/>
  </r>
  <r>
    <s v="2022-02-25"/>
    <x v="1"/>
    <x v="1"/>
    <s v="Konsultasi"/>
    <n v="4900000"/>
    <n v="1761129"/>
    <n v="3138871"/>
    <n v="0.64058591836734691"/>
    <s v="Excellent"/>
    <n v="0.4"/>
    <s v="Bali &amp; NTT"/>
    <s v="Hani M."/>
    <n v="4028940"/>
  </r>
  <r>
    <s v="2022-02-27"/>
    <x v="1"/>
    <x v="1"/>
    <s v="Support"/>
    <n v="14700000"/>
    <n v="5234027"/>
    <n v="9465973"/>
    <n v="0.64394374149659861"/>
    <s v="Excellent"/>
    <n v="0.4"/>
    <s v="Sumatera"/>
    <s v="Hani M."/>
    <n v="16485333"/>
  </r>
  <r>
    <s v="2022-02-28"/>
    <x v="1"/>
    <x v="1"/>
    <s v="Konsultasi"/>
    <n v="600000"/>
    <n v="296482"/>
    <n v="303518"/>
    <n v="0.50586333333333333"/>
    <s v="Excellent"/>
    <n v="0.4"/>
    <s v="Jawa"/>
    <s v="Dian P."/>
    <n v="777653"/>
  </r>
  <r>
    <s v="2022-03-01"/>
    <x v="2"/>
    <x v="2"/>
    <s v="Subscription"/>
    <n v="15900000"/>
    <n v="5846877"/>
    <n v="10053123"/>
    <n v="0.63227188679245283"/>
    <s v="Excellent"/>
    <n v="0.35"/>
    <s v="Bali &amp; NTT"/>
    <s v="Eko F."/>
    <n v="13699230"/>
  </r>
  <r>
    <s v="2022-03-01"/>
    <x v="2"/>
    <x v="0"/>
    <s v="Bundle"/>
    <n v="13400000"/>
    <n v="6081967"/>
    <n v="7318033"/>
    <n v="0.54612186567164178"/>
    <s v="Excellent"/>
    <n v="0.25"/>
    <s v="Bali &amp; NTT"/>
    <s v="Hani M."/>
    <n v="15773742"/>
  </r>
  <r>
    <s v="2022-03-02"/>
    <x v="2"/>
    <x v="0"/>
    <s v="Hardware"/>
    <n v="4100000"/>
    <n v="1927955"/>
    <n v="2172045"/>
    <n v="0.52976707317073168"/>
    <s v="Excellent"/>
    <n v="0.25"/>
    <s v="Sumatera"/>
    <s v="Gilang T."/>
    <n v="3608518"/>
  </r>
  <r>
    <s v="2022-03-04"/>
    <x v="2"/>
    <x v="2"/>
    <s v="API Services"/>
    <n v="12200000"/>
    <n v="5869060"/>
    <n v="6330940"/>
    <n v="0.51892950819672135"/>
    <s v="Excellent"/>
    <n v="0.35"/>
    <s v="Jawa"/>
    <s v="Eko F."/>
    <n v="11003423"/>
  </r>
  <r>
    <s v="2022-03-06"/>
    <x v="2"/>
    <x v="2"/>
    <s v="Software"/>
    <n v="9200000"/>
    <n v="3588781"/>
    <n v="5611219"/>
    <n v="0.60991510869565213"/>
    <s v="Excellent"/>
    <n v="0.35"/>
    <s v="Bali &amp; NTT"/>
    <s v="Dian P."/>
    <n v="11110002"/>
  </r>
  <r>
    <s v="2022-03-07"/>
    <x v="2"/>
    <x v="2"/>
    <s v="Software"/>
    <n v="4300000"/>
    <n v="1614922"/>
    <n v="2685078"/>
    <n v="0.62443674418604656"/>
    <s v="Excellent"/>
    <n v="0.35"/>
    <s v="Sumatera"/>
    <s v="Budi R."/>
    <n v="3791270"/>
  </r>
  <r>
    <s v="2022-03-08"/>
    <x v="2"/>
    <x v="2"/>
    <s v="Software"/>
    <n v="14800000"/>
    <n v="6839332"/>
    <n v="7960668"/>
    <n v="0.53788297297297294"/>
    <s v="Excellent"/>
    <n v="0.35"/>
    <s v="Kalimantan"/>
    <s v="Hani M."/>
    <n v="16652054"/>
  </r>
  <r>
    <s v="2022-03-08"/>
    <x v="2"/>
    <x v="0"/>
    <s v="Bundle"/>
    <n v="10100000"/>
    <n v="3610492"/>
    <n v="6489508"/>
    <n v="0.64252554455445543"/>
    <s v="Excellent"/>
    <n v="0.25"/>
    <s v="Sulawesi"/>
    <s v="Gilang T."/>
    <n v="10591988"/>
  </r>
  <r>
    <s v="2022-03-09"/>
    <x v="2"/>
    <x v="1"/>
    <s v="Konsultasi"/>
    <n v="18500000"/>
    <n v="10598883"/>
    <n v="7901117"/>
    <n v="0.42708740540540541"/>
    <s v="Excellent"/>
    <n v="0.4"/>
    <s v="Jawa"/>
    <s v="Fani A."/>
    <n v="16146465"/>
  </r>
  <r>
    <s v="2022-03-09"/>
    <x v="2"/>
    <x v="2"/>
    <s v="Software"/>
    <n v="6900000"/>
    <n v="3086989"/>
    <n v="3813011"/>
    <n v="0.55261028985507243"/>
    <s v="Excellent"/>
    <n v="0.35"/>
    <s v="Sulawesi"/>
    <s v="Gilang T."/>
    <n v="8323189"/>
  </r>
  <r>
    <s v="2022-03-09"/>
    <x v="2"/>
    <x v="0"/>
    <s v="Bundle"/>
    <n v="1900000"/>
    <n v="955732"/>
    <n v="944268"/>
    <n v="0.49698315789473685"/>
    <s v="Excellent"/>
    <n v="0.25"/>
    <s v="Kalimantan"/>
    <s v="Budi R."/>
    <n v="1785284"/>
  </r>
  <r>
    <s v="2022-03-10"/>
    <x v="2"/>
    <x v="2"/>
    <s v="Subscription"/>
    <n v="5000000"/>
    <n v="2417441"/>
    <n v="2582559"/>
    <n v="0.51651179999999997"/>
    <s v="Excellent"/>
    <n v="0.35"/>
    <s v="Bali &amp; NTT"/>
    <s v="Fani A."/>
    <n v="5947648"/>
  </r>
  <r>
    <s v="2022-03-10"/>
    <x v="2"/>
    <x v="0"/>
    <s v="Hardware"/>
    <n v="500000"/>
    <n v="210900"/>
    <n v="289100"/>
    <n v="0.57820000000000005"/>
    <s v="Excellent"/>
    <n v="0.25"/>
    <s v="Sulawesi"/>
    <s v="Gilang T."/>
    <n v="532223"/>
  </r>
  <r>
    <s v="2022-03-11"/>
    <x v="2"/>
    <x v="2"/>
    <s v="Software"/>
    <n v="11900000"/>
    <n v="5915830"/>
    <n v="5984170"/>
    <n v="0.50287142857142852"/>
    <s v="Excellent"/>
    <n v="0.35"/>
    <s v="Jawa"/>
    <s v="Eko F."/>
    <n v="13485892"/>
  </r>
  <r>
    <s v="2022-03-12"/>
    <x v="2"/>
    <x v="1"/>
    <s v="Konsultasi"/>
    <n v="12300000"/>
    <n v="5149829"/>
    <n v="7150171"/>
    <n v="0.58131471544715452"/>
    <s v="Excellent"/>
    <n v="0.4"/>
    <s v="Bali &amp; NTT"/>
    <s v="Andi S."/>
    <n v="13315057"/>
  </r>
  <r>
    <s v="2022-03-12"/>
    <x v="2"/>
    <x v="2"/>
    <s v="API Services"/>
    <n v="600000"/>
    <n v="226024"/>
    <n v="373976"/>
    <n v="0.62329333333333337"/>
    <s v="Excellent"/>
    <n v="0.35"/>
    <s v="Sulawesi"/>
    <s v="Fani A."/>
    <n v="623093"/>
  </r>
  <r>
    <s v="2022-03-17"/>
    <x v="2"/>
    <x v="0"/>
    <s v="Aksesoris"/>
    <n v="18100000"/>
    <n v="7782775"/>
    <n v="10317225"/>
    <n v="0.57001243093922649"/>
    <s v="Excellent"/>
    <n v="0.25"/>
    <s v="Sulawesi"/>
    <s v="Gilang T."/>
    <n v="16645249"/>
  </r>
  <r>
    <s v="2022-03-17"/>
    <x v="2"/>
    <x v="2"/>
    <s v="Subscription"/>
    <n v="7500000"/>
    <n v="3253483"/>
    <n v="4246517"/>
    <n v="0.56620226666666662"/>
    <s v="Excellent"/>
    <n v="0.35"/>
    <s v="Jawa"/>
    <s v="Eko F."/>
    <n v="7568508"/>
  </r>
  <r>
    <s v="2022-03-17"/>
    <x v="2"/>
    <x v="2"/>
    <s v="Software"/>
    <n v="15500000"/>
    <n v="8897231"/>
    <n v="6602769"/>
    <n v="0.42598509677419355"/>
    <s v="Excellent"/>
    <n v="0.35"/>
    <s v="Sumatera"/>
    <s v="Fani A."/>
    <n v="20105212"/>
  </r>
  <r>
    <s v="2022-03-18"/>
    <x v="2"/>
    <x v="0"/>
    <s v="Bundle"/>
    <n v="14700000"/>
    <n v="7600341"/>
    <n v="7099659"/>
    <n v="0.48297000000000001"/>
    <s v="Excellent"/>
    <n v="0.25"/>
    <s v="Bali &amp; NTT"/>
    <s v="Budi R."/>
    <n v="13294347"/>
  </r>
  <r>
    <s v="2022-03-18"/>
    <x v="2"/>
    <x v="2"/>
    <s v="API Services"/>
    <n v="5400000"/>
    <n v="2989323"/>
    <n v="2410677"/>
    <n v="0.44642166666666666"/>
    <s v="Excellent"/>
    <n v="0.35"/>
    <s v="Jawa"/>
    <s v="Andi S."/>
    <n v="5224070"/>
  </r>
  <r>
    <s v="2022-03-18"/>
    <x v="2"/>
    <x v="1"/>
    <s v="Konsultasi"/>
    <n v="1100000"/>
    <n v="423732"/>
    <n v="676268"/>
    <n v="0.61478909090909095"/>
    <s v="Excellent"/>
    <n v="0.4"/>
    <s v="Jawa"/>
    <s v="Gilang T."/>
    <n v="1145018"/>
  </r>
  <r>
    <s v="2022-03-20"/>
    <x v="2"/>
    <x v="2"/>
    <s v="API Services"/>
    <n v="19900000"/>
    <n v="9476810"/>
    <n v="10423190"/>
    <n v="0.52377839195979903"/>
    <s v="Excellent"/>
    <n v="0.35"/>
    <s v="Kalimantan"/>
    <s v="Gilang T."/>
    <n v="23466063"/>
  </r>
  <r>
    <s v="2022-03-23"/>
    <x v="2"/>
    <x v="0"/>
    <s v="Aksesoris"/>
    <n v="16500000"/>
    <n v="7958500"/>
    <n v="8541500"/>
    <n v="0.51766666666666672"/>
    <s v="Excellent"/>
    <n v="0.25"/>
    <s v="Sumatera"/>
    <s v="Hani M."/>
    <n v="17127363"/>
  </r>
  <r>
    <s v="2022-03-23"/>
    <x v="2"/>
    <x v="1"/>
    <s v="Support"/>
    <n v="11900000"/>
    <n v="4200696"/>
    <n v="7699304"/>
    <n v="0.64700033613445374"/>
    <s v="Excellent"/>
    <n v="0.4"/>
    <s v="Jawa"/>
    <s v="Fani A."/>
    <n v="13948398"/>
  </r>
  <r>
    <s v="2022-03-23"/>
    <x v="2"/>
    <x v="1"/>
    <s v="Training"/>
    <n v="9200000"/>
    <n v="4638636"/>
    <n v="4561364"/>
    <n v="0.49580043478260871"/>
    <s v="Excellent"/>
    <n v="0.4"/>
    <s v="Sulawesi"/>
    <s v="Eko F."/>
    <n v="11865507"/>
  </r>
  <r>
    <s v="2022-03-23"/>
    <x v="2"/>
    <x v="2"/>
    <s v="API Services"/>
    <n v="3500000"/>
    <n v="1354219"/>
    <n v="2145781"/>
    <n v="0.61308028571428574"/>
    <s v="Excellent"/>
    <n v="0.35"/>
    <s v="Sumatera"/>
    <s v="Citra W."/>
    <n v="4546895"/>
  </r>
  <r>
    <s v="2022-03-25"/>
    <x v="2"/>
    <x v="0"/>
    <s v="Hardware"/>
    <n v="13300000"/>
    <n v="6463789"/>
    <n v="6836211"/>
    <n v="0.51400082706766914"/>
    <s v="Excellent"/>
    <n v="0.25"/>
    <s v="Bali &amp; NTT"/>
    <s v="Andi S."/>
    <n v="14095132"/>
  </r>
  <r>
    <s v="2022-03-26"/>
    <x v="2"/>
    <x v="2"/>
    <s v="API Services"/>
    <n v="18800000"/>
    <n v="9547104"/>
    <n v="9252896"/>
    <n v="0.4921753191489362"/>
    <s v="Excellent"/>
    <n v="0.35"/>
    <s v="Sulawesi"/>
    <s v="Fani A."/>
    <n v="15923652"/>
  </r>
  <r>
    <s v="2022-03-27"/>
    <x v="2"/>
    <x v="2"/>
    <s v="Software"/>
    <n v="18700000"/>
    <n v="10313010"/>
    <n v="8386990"/>
    <n v="0.44850213903743313"/>
    <s v="Excellent"/>
    <n v="0.35"/>
    <s v="Sulawesi"/>
    <s v="Dian P."/>
    <n v="17229658"/>
  </r>
  <r>
    <s v="2022-03-28"/>
    <x v="2"/>
    <x v="1"/>
    <s v="Konsultasi"/>
    <n v="5100000"/>
    <n v="2070482"/>
    <n v="3029518"/>
    <n v="0.59402313725490197"/>
    <s v="Excellent"/>
    <n v="0.4"/>
    <s v="Sumatera"/>
    <s v="Budi R."/>
    <n v="4970724"/>
  </r>
  <r>
    <s v="2022-03-29"/>
    <x v="2"/>
    <x v="2"/>
    <s v="Software"/>
    <n v="1800000"/>
    <n v="779178"/>
    <n v="1020822"/>
    <n v="0.56712333333333331"/>
    <s v="Excellent"/>
    <n v="0.35"/>
    <s v="Kalimantan"/>
    <s v="Dian P."/>
    <n v="1520952"/>
  </r>
  <r>
    <s v="2022-03-31"/>
    <x v="2"/>
    <x v="0"/>
    <s v="Bundle"/>
    <n v="9600000"/>
    <n v="4499101"/>
    <n v="5100899"/>
    <n v="0.53134364583333338"/>
    <s v="Excellent"/>
    <n v="0.25"/>
    <s v="Sumatera"/>
    <s v="Citra W."/>
    <n v="10114145"/>
  </r>
  <r>
    <s v="2022-04-02"/>
    <x v="3"/>
    <x v="0"/>
    <s v="Aksesoris"/>
    <n v="16200000"/>
    <n v="7849850"/>
    <n v="8350150"/>
    <n v="0.51544135802469138"/>
    <s v="Excellent"/>
    <n v="0.25"/>
    <s v="Sumatera"/>
    <s v="Fani A."/>
    <n v="19481760"/>
  </r>
  <r>
    <s v="2022-04-03"/>
    <x v="3"/>
    <x v="2"/>
    <s v="Subscription"/>
    <n v="10700000"/>
    <n v="4281624"/>
    <n v="6418376"/>
    <n v="0.59984822429906537"/>
    <s v="Excellent"/>
    <n v="0.35"/>
    <s v="Jawa"/>
    <s v="Fani A."/>
    <n v="10438923"/>
  </r>
  <r>
    <s v="2022-04-04"/>
    <x v="3"/>
    <x v="1"/>
    <s v="Konsultasi"/>
    <n v="500000"/>
    <n v="229121"/>
    <n v="270879"/>
    <n v="0.54175799999999996"/>
    <s v="Excellent"/>
    <n v="0.4"/>
    <s v="Sumatera"/>
    <s v="Andi S."/>
    <n v="571400"/>
  </r>
  <r>
    <s v="2022-04-06"/>
    <x v="3"/>
    <x v="0"/>
    <s v="Aksesoris"/>
    <n v="4200000"/>
    <n v="1514126"/>
    <n v="2685874"/>
    <n v="0.63949380952380952"/>
    <s v="Excellent"/>
    <n v="0.25"/>
    <s v="Bali &amp; NTT"/>
    <s v="Hani M."/>
    <n v="3654716"/>
  </r>
  <r>
    <s v="2022-04-08"/>
    <x v="3"/>
    <x v="0"/>
    <s v="Bundle"/>
    <n v="10900000"/>
    <n v="5937538"/>
    <n v="4962462"/>
    <n v="0.45527174311926605"/>
    <s v="Excellent"/>
    <n v="0.25"/>
    <s v="Bali &amp; NTT"/>
    <s v="Andi S."/>
    <n v="12645559"/>
  </r>
  <r>
    <s v="2022-04-08"/>
    <x v="3"/>
    <x v="1"/>
    <s v="Konsultasi"/>
    <n v="6500000"/>
    <n v="2875237"/>
    <n v="3624763"/>
    <n v="0.55765584615384611"/>
    <s v="Excellent"/>
    <n v="0.4"/>
    <s v="Bali &amp; NTT"/>
    <s v="Hani M."/>
    <n v="7480905"/>
  </r>
  <r>
    <s v="2022-04-09"/>
    <x v="3"/>
    <x v="0"/>
    <s v="Aksesoris"/>
    <n v="16400000"/>
    <n v="6544701"/>
    <n v="9855299"/>
    <n v="0.60093286585365857"/>
    <s v="Excellent"/>
    <n v="0.25"/>
    <s v="Jawa"/>
    <s v="Fani A."/>
    <n v="15128049"/>
  </r>
  <r>
    <s v="2022-04-10"/>
    <x v="3"/>
    <x v="2"/>
    <s v="Software"/>
    <n v="10200000"/>
    <n v="4775673"/>
    <n v="5424327"/>
    <n v="0.53179676470588233"/>
    <s v="Excellent"/>
    <n v="0.35"/>
    <s v="Jawa"/>
    <s v="Fani A."/>
    <n v="10592088"/>
  </r>
  <r>
    <s v="2022-04-10"/>
    <x v="3"/>
    <x v="2"/>
    <s v="Subscription"/>
    <n v="3500000"/>
    <n v="1349144"/>
    <n v="2150856"/>
    <n v="0.6145302857142857"/>
    <s v="Excellent"/>
    <n v="0.35"/>
    <s v="Kalimantan"/>
    <s v="Fani A."/>
    <n v="3133823"/>
  </r>
  <r>
    <s v="2022-04-11"/>
    <x v="3"/>
    <x v="0"/>
    <s v="Bundle"/>
    <n v="17000000"/>
    <n v="7529042"/>
    <n v="9470958"/>
    <n v="0.55711517647058828"/>
    <s v="Excellent"/>
    <n v="0.25"/>
    <s v="Bali &amp; NTT"/>
    <s v="Andi S."/>
    <n v="20293459"/>
  </r>
  <r>
    <s v="2022-04-15"/>
    <x v="3"/>
    <x v="1"/>
    <s v="Konsultasi"/>
    <n v="7100000"/>
    <n v="3406978"/>
    <n v="3693022"/>
    <n v="0.52014394366197181"/>
    <s v="Excellent"/>
    <n v="0.4"/>
    <s v="Sumatera"/>
    <s v="Fani A."/>
    <n v="9136558"/>
  </r>
  <r>
    <s v="2022-04-15"/>
    <x v="3"/>
    <x v="0"/>
    <s v="Hardware"/>
    <n v="14500000"/>
    <n v="8225235"/>
    <n v="6274765"/>
    <n v="0.43274241379310346"/>
    <s v="Excellent"/>
    <n v="0.25"/>
    <s v="Jawa"/>
    <s v="Hani M."/>
    <n v="16807595"/>
  </r>
  <r>
    <s v="2022-04-19"/>
    <x v="3"/>
    <x v="2"/>
    <s v="Subscription"/>
    <n v="1900000"/>
    <n v="1064488"/>
    <n v="835512"/>
    <n v="0.43974315789473684"/>
    <s v="Excellent"/>
    <n v="0.35"/>
    <s v="Jawa"/>
    <s v="Eko F."/>
    <n v="2147718"/>
  </r>
  <r>
    <s v="2022-04-20"/>
    <x v="3"/>
    <x v="0"/>
    <s v="Bundle"/>
    <n v="17300000"/>
    <n v="8952873"/>
    <n v="8347127"/>
    <n v="0.4824928901734104"/>
    <s v="Excellent"/>
    <n v="0.25"/>
    <s v="Kalimantan"/>
    <s v="Andi S."/>
    <n v="17284068"/>
  </r>
  <r>
    <s v="2022-04-21"/>
    <x v="3"/>
    <x v="0"/>
    <s v="Aksesoris"/>
    <n v="7500000"/>
    <n v="2995838"/>
    <n v="4504162"/>
    <n v="0.60055493333333332"/>
    <s v="Excellent"/>
    <n v="0.25"/>
    <s v="Kalimantan"/>
    <s v="Citra W."/>
    <n v="8274534"/>
  </r>
  <r>
    <s v="2022-04-21"/>
    <x v="3"/>
    <x v="0"/>
    <s v="Bundle"/>
    <n v="2000000"/>
    <n v="931727"/>
    <n v="1068273"/>
    <n v="0.53413650000000001"/>
    <s v="Excellent"/>
    <n v="0.25"/>
    <s v="Jawa"/>
    <s v="Gilang T."/>
    <n v="1795485"/>
  </r>
  <r>
    <s v="2022-04-22"/>
    <x v="3"/>
    <x v="1"/>
    <s v="Support"/>
    <n v="12000000"/>
    <n v="5100960"/>
    <n v="6899040"/>
    <n v="0.57491999999999999"/>
    <s v="Excellent"/>
    <n v="0.4"/>
    <s v="Bali &amp; NTT"/>
    <s v="Gilang T."/>
    <n v="14597327"/>
  </r>
  <r>
    <s v="2022-04-22"/>
    <x v="3"/>
    <x v="1"/>
    <s v="Training"/>
    <n v="6200000"/>
    <n v="2528591"/>
    <n v="3671409"/>
    <n v="0.59216274193548391"/>
    <s v="Excellent"/>
    <n v="0.4"/>
    <s v="Kalimantan"/>
    <s v="Andi S."/>
    <n v="6602654"/>
  </r>
  <r>
    <s v="2022-04-23"/>
    <x v="3"/>
    <x v="0"/>
    <s v="Hardware"/>
    <n v="9300000"/>
    <n v="5196802"/>
    <n v="4103198"/>
    <n v="0.4412040860215054"/>
    <s v="Excellent"/>
    <n v="0.25"/>
    <s v="Sumatera"/>
    <s v="Budi R."/>
    <n v="8197972"/>
  </r>
  <r>
    <s v="2022-04-24"/>
    <x v="3"/>
    <x v="1"/>
    <s v="Konsultasi"/>
    <n v="16700000"/>
    <n v="7183916"/>
    <n v="9516084"/>
    <n v="0.5698253892215569"/>
    <s v="Excellent"/>
    <n v="0.4"/>
    <s v="Jawa"/>
    <s v="Fani A."/>
    <n v="19300258"/>
  </r>
  <r>
    <s v="2022-04-24"/>
    <x v="3"/>
    <x v="1"/>
    <s v="Konsultasi"/>
    <n v="11000000"/>
    <n v="4144122"/>
    <n v="6855878"/>
    <n v="0.62326163636363641"/>
    <s v="Excellent"/>
    <n v="0.4"/>
    <s v="Sumatera"/>
    <s v="Citra W."/>
    <n v="9934833"/>
  </r>
  <r>
    <s v="2022-04-26"/>
    <x v="3"/>
    <x v="2"/>
    <s v="Subscription"/>
    <n v="6500000"/>
    <n v="3615896"/>
    <n v="2884104"/>
    <n v="0.44370830769230768"/>
    <s v="Excellent"/>
    <n v="0.35"/>
    <s v="Kalimantan"/>
    <s v="Citra W."/>
    <n v="8383518"/>
  </r>
  <r>
    <s v="2022-04-26"/>
    <x v="3"/>
    <x v="0"/>
    <s v="Bundle"/>
    <n v="12800000"/>
    <n v="5007407"/>
    <n v="7792593"/>
    <n v="0.60879632812499995"/>
    <s v="Excellent"/>
    <n v="0.25"/>
    <s v="Kalimantan"/>
    <s v="Dian P."/>
    <n v="11514546"/>
  </r>
  <r>
    <s v="2022-04-26"/>
    <x v="3"/>
    <x v="0"/>
    <s v="Aksesoris"/>
    <n v="3100000"/>
    <n v="1185364"/>
    <n v="1914636"/>
    <n v="0.61762451612903224"/>
    <s v="Excellent"/>
    <n v="0.25"/>
    <s v="Jawa"/>
    <s v="Andi S."/>
    <n v="2760095"/>
  </r>
  <r>
    <s v="2022-04-26"/>
    <x v="3"/>
    <x v="0"/>
    <s v="Aksesoris"/>
    <n v="1600000"/>
    <n v="757742"/>
    <n v="842258"/>
    <n v="0.52641125"/>
    <s v="Excellent"/>
    <n v="0.25"/>
    <s v="Sumatera"/>
    <s v="Citra W."/>
    <n v="1721478"/>
  </r>
  <r>
    <s v="2022-04-27"/>
    <x v="3"/>
    <x v="0"/>
    <s v="Aksesoris"/>
    <n v="3600000"/>
    <n v="1710416"/>
    <n v="1889584"/>
    <n v="0.52488444444444449"/>
    <s v="Excellent"/>
    <n v="0.25"/>
    <s v="Bali &amp; NTT"/>
    <s v="Hani M."/>
    <n v="4383344"/>
  </r>
  <r>
    <s v="2022-04-27"/>
    <x v="3"/>
    <x v="2"/>
    <s v="Subscription"/>
    <n v="9000000"/>
    <n v="3866201"/>
    <n v="5133799"/>
    <n v="0.57042211111111107"/>
    <s v="Excellent"/>
    <n v="0.35"/>
    <s v="Bali &amp; NTT"/>
    <s v="Dian P."/>
    <n v="7756771"/>
  </r>
  <r>
    <s v="2022-04-27"/>
    <x v="3"/>
    <x v="1"/>
    <s v="Konsultasi"/>
    <n v="1100000"/>
    <n v="389793"/>
    <n v="710207"/>
    <n v="0.64564272727272731"/>
    <s v="Excellent"/>
    <n v="0.4"/>
    <s v="Kalimantan"/>
    <s v="Fani A."/>
    <n v="1119302"/>
  </r>
  <r>
    <s v="2022-04-28"/>
    <x v="3"/>
    <x v="1"/>
    <s v="Konsultasi"/>
    <n v="14400000"/>
    <n v="7493514"/>
    <n v="6906486"/>
    <n v="0.47961708333333336"/>
    <s v="Excellent"/>
    <n v="0.4"/>
    <s v="Jawa"/>
    <s v="Fani A."/>
    <n v="13812779"/>
  </r>
  <r>
    <s v="2022-04-29"/>
    <x v="3"/>
    <x v="1"/>
    <s v="Konsultasi"/>
    <n v="6400000"/>
    <n v="2563915"/>
    <n v="3836085"/>
    <n v="0.59938828124999999"/>
    <s v="Excellent"/>
    <n v="0.4"/>
    <s v="Sulawesi"/>
    <s v="Andi S."/>
    <n v="6081097"/>
  </r>
  <r>
    <s v="2022-04-29"/>
    <x v="3"/>
    <x v="1"/>
    <s v="Training"/>
    <n v="10200000"/>
    <n v="4528657"/>
    <n v="5671343"/>
    <n v="0.55601401960784314"/>
    <s v="Excellent"/>
    <n v="0.4"/>
    <s v="Kalimantan"/>
    <s v="Hani M."/>
    <n v="10065479"/>
  </r>
  <r>
    <s v="2022-04-30"/>
    <x v="3"/>
    <x v="0"/>
    <s v="Bundle"/>
    <n v="10000000"/>
    <n v="4871126"/>
    <n v="5128874"/>
    <n v="0.51288739999999999"/>
    <s v="Excellent"/>
    <n v="0.25"/>
    <s v="Sulawesi"/>
    <s v="Dian P."/>
    <n v="9974802"/>
  </r>
  <r>
    <s v="2022-05-01"/>
    <x v="4"/>
    <x v="2"/>
    <s v="Subscription"/>
    <n v="15300000"/>
    <n v="7927730"/>
    <n v="7372270"/>
    <n v="0.48184771241830066"/>
    <s v="Excellent"/>
    <n v="0.35"/>
    <s v="Sulawesi"/>
    <s v="Gilang T."/>
    <n v="19153990"/>
  </r>
  <r>
    <s v="2022-05-01"/>
    <x v="4"/>
    <x v="1"/>
    <s v="Support"/>
    <n v="5700000"/>
    <n v="2517465"/>
    <n v="3182535"/>
    <n v="0.55833947368421055"/>
    <s v="Excellent"/>
    <n v="0.4"/>
    <s v="Kalimantan"/>
    <s v="Gilang T."/>
    <n v="6716279"/>
  </r>
  <r>
    <s v="2022-05-04"/>
    <x v="4"/>
    <x v="2"/>
    <s v="Software"/>
    <n v="2700000"/>
    <n v="1330033"/>
    <n v="1369967"/>
    <n v="0.50739518518518523"/>
    <s v="Excellent"/>
    <n v="0.35"/>
    <s v="Sulawesi"/>
    <s v="Fani A."/>
    <n v="3057265"/>
  </r>
  <r>
    <s v="2022-05-07"/>
    <x v="4"/>
    <x v="0"/>
    <s v="Bundle"/>
    <n v="4600000"/>
    <n v="2161207"/>
    <n v="2438793"/>
    <n v="0.53017239130434779"/>
    <s v="Excellent"/>
    <n v="0.25"/>
    <s v="Kalimantan"/>
    <s v="Andi S."/>
    <n v="4962315"/>
  </r>
  <r>
    <s v="2022-05-08"/>
    <x v="4"/>
    <x v="1"/>
    <s v="Konsultasi"/>
    <n v="18900000"/>
    <n v="9445785"/>
    <n v="9454215"/>
    <n v="0.50022301587301587"/>
    <s v="Excellent"/>
    <n v="0.4"/>
    <s v="Sulawesi"/>
    <s v="Fani A."/>
    <n v="16826494"/>
  </r>
  <r>
    <s v="2022-05-09"/>
    <x v="4"/>
    <x v="2"/>
    <s v="Software"/>
    <n v="7300000"/>
    <n v="4018638"/>
    <n v="3281362"/>
    <n v="0.44950164383561642"/>
    <s v="Excellent"/>
    <n v="0.35"/>
    <s v="Sulawesi"/>
    <s v="Eko F."/>
    <n v="9227705"/>
  </r>
  <r>
    <s v="2022-05-14"/>
    <x v="4"/>
    <x v="2"/>
    <s v="Software"/>
    <n v="17700000"/>
    <n v="9525914"/>
    <n v="8174086"/>
    <n v="0.46181276836158192"/>
    <s v="Excellent"/>
    <n v="0.35"/>
    <s v="Kalimantan"/>
    <s v="Gilang T."/>
    <n v="15032224"/>
  </r>
  <r>
    <s v="2022-05-15"/>
    <x v="4"/>
    <x v="0"/>
    <s v="Aksesoris"/>
    <n v="10000000"/>
    <n v="5153004"/>
    <n v="4846996"/>
    <n v="0.48469960000000001"/>
    <s v="Excellent"/>
    <n v="0.25"/>
    <s v="Jawa"/>
    <s v="Gilang T."/>
    <n v="10896842"/>
  </r>
  <r>
    <s v="2022-05-16"/>
    <x v="4"/>
    <x v="0"/>
    <s v="Aksesoris"/>
    <n v="2000000"/>
    <n v="1030830"/>
    <n v="969170"/>
    <n v="0.48458499999999999"/>
    <s v="Excellent"/>
    <n v="0.25"/>
    <s v="Sumatera"/>
    <s v="Andi S."/>
    <n v="1825625"/>
  </r>
  <r>
    <s v="2022-05-17"/>
    <x v="4"/>
    <x v="2"/>
    <s v="Software"/>
    <n v="3700000"/>
    <n v="1480167"/>
    <n v="2219833"/>
    <n v="0.59995486486486482"/>
    <s v="Excellent"/>
    <n v="0.35"/>
    <s v="Jawa"/>
    <s v="Eko F."/>
    <n v="3224943"/>
  </r>
  <r>
    <s v="2022-05-18"/>
    <x v="4"/>
    <x v="0"/>
    <s v="Bundle"/>
    <n v="18300000"/>
    <n v="6686500"/>
    <n v="11613500"/>
    <n v="0.63461748633879778"/>
    <s v="Excellent"/>
    <n v="0.25"/>
    <s v="Jawa"/>
    <s v="Eko F."/>
    <n v="20937554"/>
  </r>
  <r>
    <s v="2022-05-19"/>
    <x v="4"/>
    <x v="2"/>
    <s v="API Services"/>
    <n v="5900000"/>
    <n v="2387243"/>
    <n v="3512757"/>
    <n v="0.59538254237288135"/>
    <s v="Excellent"/>
    <n v="0.35"/>
    <s v="Kalimantan"/>
    <s v="Andi S."/>
    <n v="5005725"/>
  </r>
  <r>
    <s v="2022-05-21"/>
    <x v="4"/>
    <x v="0"/>
    <s v="Aksesoris"/>
    <n v="12700000"/>
    <n v="4925500"/>
    <n v="7774500"/>
    <n v="0.61216535433070862"/>
    <s v="Excellent"/>
    <n v="0.25"/>
    <s v="Bali &amp; NTT"/>
    <s v="Hani M."/>
    <n v="16430771"/>
  </r>
  <r>
    <s v="2022-05-22"/>
    <x v="4"/>
    <x v="2"/>
    <s v="Subscription"/>
    <n v="16000000"/>
    <n v="9009581"/>
    <n v="6990419"/>
    <n v="0.43690118750000001"/>
    <s v="Excellent"/>
    <n v="0.35"/>
    <s v="Bali &amp; NTT"/>
    <s v="Budi R."/>
    <n v="14059152"/>
  </r>
  <r>
    <s v="2022-05-25"/>
    <x v="4"/>
    <x v="2"/>
    <s v="API Services"/>
    <n v="13100000"/>
    <n v="7216862"/>
    <n v="5883138"/>
    <n v="0.44909450381679389"/>
    <s v="Excellent"/>
    <n v="0.35"/>
    <s v="Jawa"/>
    <s v="Eko F."/>
    <n v="13207062"/>
  </r>
  <r>
    <s v="2022-05-25"/>
    <x v="4"/>
    <x v="0"/>
    <s v="Aksesoris"/>
    <n v="5000000"/>
    <n v="2282690"/>
    <n v="2717310"/>
    <n v="0.543462"/>
    <s v="Excellent"/>
    <n v="0.25"/>
    <s v="Bali &amp; NTT"/>
    <s v="Budi R."/>
    <n v="4034419"/>
  </r>
  <r>
    <s v="2022-05-25"/>
    <x v="4"/>
    <x v="2"/>
    <s v="Software"/>
    <n v="2900000"/>
    <n v="1530696"/>
    <n v="1369304"/>
    <n v="0.47217379310344826"/>
    <s v="Excellent"/>
    <n v="0.35"/>
    <s v="Sulawesi"/>
    <s v="Budi R."/>
    <n v="2979378"/>
  </r>
  <r>
    <s v="2022-05-25"/>
    <x v="4"/>
    <x v="0"/>
    <s v="Aksesoris"/>
    <n v="14900000"/>
    <n v="7300436"/>
    <n v="7599564"/>
    <n v="0.51003785234899324"/>
    <s v="Excellent"/>
    <n v="0.25"/>
    <s v="Sulawesi"/>
    <s v="Andi S."/>
    <n v="18904591"/>
  </r>
  <r>
    <s v="2022-05-26"/>
    <x v="4"/>
    <x v="1"/>
    <s v="Training"/>
    <n v="11200000"/>
    <n v="6578975"/>
    <n v="4621025"/>
    <n v="0.41259151785714288"/>
    <s v="Excellent"/>
    <n v="0.4"/>
    <s v="Kalimantan"/>
    <s v="Gilang T."/>
    <n v="13850825"/>
  </r>
  <r>
    <s v="2022-05-26"/>
    <x v="4"/>
    <x v="2"/>
    <s v="Software"/>
    <n v="16200000"/>
    <n v="7224752"/>
    <n v="8975248"/>
    <n v="0.55402765432098766"/>
    <s v="Excellent"/>
    <n v="0.35"/>
    <s v="Jawa"/>
    <s v="Andi S."/>
    <n v="16154635"/>
  </r>
  <r>
    <s v="2022-05-26"/>
    <x v="4"/>
    <x v="1"/>
    <s v="Support"/>
    <n v="16100000"/>
    <n v="7382446"/>
    <n v="8717554"/>
    <n v="0.54146298136645965"/>
    <s v="Excellent"/>
    <n v="0.4"/>
    <s v="Sumatera"/>
    <s v="Gilang T."/>
    <n v="13121016"/>
  </r>
  <r>
    <s v="2022-05-28"/>
    <x v="4"/>
    <x v="0"/>
    <s v="Hardware"/>
    <n v="14300000"/>
    <n v="6352906"/>
    <n v="7947094"/>
    <n v="0.55574083916083916"/>
    <s v="Excellent"/>
    <n v="0.25"/>
    <s v="Bali &amp; NTT"/>
    <s v="Citra W."/>
    <n v="15719328"/>
  </r>
  <r>
    <s v="2022-05-28"/>
    <x v="4"/>
    <x v="0"/>
    <s v="Hardware"/>
    <n v="1200000"/>
    <n v="615490"/>
    <n v="584510"/>
    <n v="0.48709166666666665"/>
    <s v="Excellent"/>
    <n v="0.25"/>
    <s v="Jawa"/>
    <s v="Fani A."/>
    <n v="1417424"/>
  </r>
  <r>
    <s v="2022-05-28"/>
    <x v="4"/>
    <x v="0"/>
    <s v="Bundle"/>
    <n v="6100000"/>
    <n v="2780185"/>
    <n v="3319815"/>
    <n v="0.54423196721311473"/>
    <s v="Excellent"/>
    <n v="0.25"/>
    <s v="Sulawesi"/>
    <s v="Eko F."/>
    <n v="7621549"/>
  </r>
  <r>
    <s v="2022-05-30"/>
    <x v="4"/>
    <x v="1"/>
    <s v="Konsultasi"/>
    <n v="13500000"/>
    <n v="5215733"/>
    <n v="8284267"/>
    <n v="0.61364940740740737"/>
    <s v="Excellent"/>
    <n v="0.4"/>
    <s v="Sulawesi"/>
    <s v="Budi R."/>
    <n v="15933496"/>
  </r>
  <r>
    <s v="2022-05-30"/>
    <x v="4"/>
    <x v="0"/>
    <s v="Bundle"/>
    <n v="2300000"/>
    <n v="950208"/>
    <n v="1349792"/>
    <n v="0.58686608695652176"/>
    <s v="Excellent"/>
    <n v="0.25"/>
    <s v="Bali &amp; NTT"/>
    <s v="Gilang T."/>
    <n v="2951490"/>
  </r>
  <r>
    <s v="2022-05-31"/>
    <x v="4"/>
    <x v="0"/>
    <s v="Bundle"/>
    <n v="3100000"/>
    <n v="1313165"/>
    <n v="1786835"/>
    <n v="0.57639838709677416"/>
    <s v="Excellent"/>
    <n v="0.25"/>
    <s v="Kalimantan"/>
    <s v="Dian P."/>
    <n v="3677064"/>
  </r>
  <r>
    <s v="2022-05-31"/>
    <x v="4"/>
    <x v="2"/>
    <s v="Software"/>
    <n v="11800000"/>
    <n v="6969431"/>
    <n v="4830569"/>
    <n v="0.40937025423728812"/>
    <s v="Excellent"/>
    <n v="0.35"/>
    <s v="Bali &amp; NTT"/>
    <s v="Eko F."/>
    <n v="13752644"/>
  </r>
  <r>
    <s v="2022-06-02"/>
    <x v="5"/>
    <x v="0"/>
    <s v="Hardware"/>
    <n v="11600000"/>
    <n v="4867689"/>
    <n v="6732311"/>
    <n v="0.58037163793103452"/>
    <s v="Excellent"/>
    <n v="0.25"/>
    <s v="Sumatera"/>
    <s v="Gilang T."/>
    <n v="14592584"/>
  </r>
  <r>
    <s v="2022-06-02"/>
    <x v="5"/>
    <x v="0"/>
    <s v="Bundle"/>
    <n v="6300000"/>
    <n v="3765301"/>
    <n v="2534699"/>
    <n v="0.40233317460317458"/>
    <s v="Excellent"/>
    <n v="0.25"/>
    <s v="Jawa"/>
    <s v="Fani A."/>
    <n v="6204133"/>
  </r>
  <r>
    <s v="2022-06-02"/>
    <x v="5"/>
    <x v="2"/>
    <s v="Subscription"/>
    <n v="7800000"/>
    <n v="4587465"/>
    <n v="3212535"/>
    <n v="0.41186346153846154"/>
    <s v="Excellent"/>
    <n v="0.35"/>
    <s v="Bali &amp; NTT"/>
    <s v="Eko F."/>
    <n v="8131583"/>
  </r>
  <r>
    <s v="2022-06-03"/>
    <x v="5"/>
    <x v="1"/>
    <s v="Training"/>
    <n v="16200000"/>
    <n v="8710311"/>
    <n v="7489689"/>
    <n v="0.46232648148148148"/>
    <s v="Excellent"/>
    <n v="0.4"/>
    <s v="Kalimantan"/>
    <s v="Dian P."/>
    <n v="13146515"/>
  </r>
  <r>
    <s v="2022-06-03"/>
    <x v="5"/>
    <x v="0"/>
    <s v="Aksesoris"/>
    <n v="10200000"/>
    <n v="5284055"/>
    <n v="4915945"/>
    <n v="0.48195539215686273"/>
    <s v="Excellent"/>
    <n v="0.25"/>
    <s v="Bali &amp; NTT"/>
    <s v="Eko F."/>
    <n v="12212916"/>
  </r>
  <r>
    <s v="2022-06-03"/>
    <x v="5"/>
    <x v="0"/>
    <s v="Hardware"/>
    <n v="3000000"/>
    <n v="1117575"/>
    <n v="1882425"/>
    <n v="0.627475"/>
    <s v="Excellent"/>
    <n v="0.25"/>
    <s v="Bali &amp; NTT"/>
    <s v="Gilang T."/>
    <n v="2434064"/>
  </r>
  <r>
    <s v="2022-06-03"/>
    <x v="5"/>
    <x v="1"/>
    <s v="Training"/>
    <n v="10100000"/>
    <n v="3860238"/>
    <n v="6239762"/>
    <n v="0.61779821782178213"/>
    <s v="Excellent"/>
    <n v="0.4"/>
    <s v="Bali &amp; NTT"/>
    <s v="Dian P."/>
    <n v="12321956"/>
  </r>
  <r>
    <s v="2022-06-04"/>
    <x v="5"/>
    <x v="2"/>
    <s v="Subscription"/>
    <n v="2100000"/>
    <n v="925543"/>
    <n v="1174457"/>
    <n v="0.55926523809523809"/>
    <s v="Excellent"/>
    <n v="0.35"/>
    <s v="Bali &amp; NTT"/>
    <s v="Hani M."/>
    <n v="2634707"/>
  </r>
  <r>
    <s v="2022-06-05"/>
    <x v="5"/>
    <x v="2"/>
    <s v="Subscription"/>
    <n v="3500000"/>
    <n v="1690767"/>
    <n v="1809233"/>
    <n v="0.51692371428571426"/>
    <s v="Excellent"/>
    <n v="0.35"/>
    <s v="Sumatera"/>
    <s v="Hani M."/>
    <n v="3882005"/>
  </r>
  <r>
    <s v="2022-06-06"/>
    <x v="5"/>
    <x v="0"/>
    <s v="Bundle"/>
    <n v="9700000"/>
    <n v="3937811"/>
    <n v="5762189"/>
    <n v="0.59404010309278354"/>
    <s v="Excellent"/>
    <n v="0.25"/>
    <s v="Sumatera"/>
    <s v="Gilang T."/>
    <n v="9151288"/>
  </r>
  <r>
    <s v="2022-06-06"/>
    <x v="5"/>
    <x v="0"/>
    <s v="Aksesoris"/>
    <n v="11000000"/>
    <n v="6548603"/>
    <n v="4451397"/>
    <n v="0.40467245454545453"/>
    <s v="Excellent"/>
    <n v="0.25"/>
    <s v="Kalimantan"/>
    <s v="Budi R."/>
    <n v="14163212"/>
  </r>
  <r>
    <s v="2022-06-07"/>
    <x v="5"/>
    <x v="1"/>
    <s v="Konsultasi"/>
    <n v="4500000"/>
    <n v="2107946"/>
    <n v="2392054"/>
    <n v="0.53156755555555557"/>
    <s v="Excellent"/>
    <n v="0.4"/>
    <s v="Kalimantan"/>
    <s v="Andi S."/>
    <n v="3617151"/>
  </r>
  <r>
    <s v="2022-06-07"/>
    <x v="5"/>
    <x v="0"/>
    <s v="Hardware"/>
    <n v="11600000"/>
    <n v="4724845"/>
    <n v="6875155"/>
    <n v="0.59268577586206894"/>
    <s v="Excellent"/>
    <n v="0.25"/>
    <s v="Kalimantan"/>
    <s v="Fani A."/>
    <n v="13993077"/>
  </r>
  <r>
    <s v="2022-06-09"/>
    <x v="5"/>
    <x v="1"/>
    <s v="Konsultasi"/>
    <n v="18800000"/>
    <n v="6582801"/>
    <n v="12217199"/>
    <n v="0.64985101063829787"/>
    <s v="Excellent"/>
    <n v="0.4"/>
    <s v="Bali &amp; NTT"/>
    <s v="Budi R."/>
    <n v="22499783"/>
  </r>
  <r>
    <s v="2022-06-09"/>
    <x v="5"/>
    <x v="2"/>
    <s v="Software"/>
    <n v="6600000"/>
    <n v="2418870"/>
    <n v="4181130"/>
    <n v="0.63350454545454549"/>
    <s v="Excellent"/>
    <n v="0.35"/>
    <s v="Kalimantan"/>
    <s v="Citra W."/>
    <n v="7822120"/>
  </r>
  <r>
    <s v="2022-06-10"/>
    <x v="5"/>
    <x v="2"/>
    <s v="API Services"/>
    <n v="1600000"/>
    <n v="852976"/>
    <n v="747024"/>
    <n v="0.46689000000000003"/>
    <s v="Excellent"/>
    <n v="0.35"/>
    <s v="Sumatera"/>
    <s v="Dian P."/>
    <n v="1436684"/>
  </r>
  <r>
    <s v="2022-06-10"/>
    <x v="5"/>
    <x v="0"/>
    <s v="Aksesoris"/>
    <n v="11600000"/>
    <n v="6639945"/>
    <n v="4960055"/>
    <n v="0.42759094827586208"/>
    <s v="Excellent"/>
    <n v="0.25"/>
    <s v="Sumatera"/>
    <s v="Budi R."/>
    <n v="11813491"/>
  </r>
  <r>
    <s v="2022-06-11"/>
    <x v="5"/>
    <x v="2"/>
    <s v="Software"/>
    <n v="9400000"/>
    <n v="5398393"/>
    <n v="4001607"/>
    <n v="0.42570287234042553"/>
    <s v="Excellent"/>
    <n v="0.35"/>
    <s v="Jawa"/>
    <s v="Budi R."/>
    <n v="7952982"/>
  </r>
  <r>
    <s v="2022-06-11"/>
    <x v="5"/>
    <x v="2"/>
    <s v="Software"/>
    <n v="15400000"/>
    <n v="7873284"/>
    <n v="7526716"/>
    <n v="0.48874779220779219"/>
    <s v="Excellent"/>
    <n v="0.35"/>
    <s v="Sumatera"/>
    <s v="Andi S."/>
    <n v="16933110"/>
  </r>
  <r>
    <s v="2022-06-12"/>
    <x v="5"/>
    <x v="2"/>
    <s v="API Services"/>
    <n v="4700000"/>
    <n v="2391016"/>
    <n v="2308984"/>
    <n v="0.49127319148936172"/>
    <s v="Excellent"/>
    <n v="0.35"/>
    <s v="Sumatera"/>
    <s v="Citra W."/>
    <n v="5778510"/>
  </r>
  <r>
    <s v="2022-06-12"/>
    <x v="5"/>
    <x v="0"/>
    <s v="Hardware"/>
    <n v="5100000"/>
    <n v="2469598"/>
    <n v="2630402"/>
    <n v="0.51576509803921566"/>
    <s v="Excellent"/>
    <n v="0.25"/>
    <s v="Kalimantan"/>
    <s v="Gilang T."/>
    <n v="4506785"/>
  </r>
  <r>
    <s v="2022-06-12"/>
    <x v="5"/>
    <x v="2"/>
    <s v="Software"/>
    <n v="11200000"/>
    <n v="6038142"/>
    <n v="5161858"/>
    <n v="0.46088017857142854"/>
    <s v="Excellent"/>
    <n v="0.35"/>
    <s v="Bali &amp; NTT"/>
    <s v="Gilang T."/>
    <n v="9690858"/>
  </r>
  <r>
    <s v="2022-06-13"/>
    <x v="5"/>
    <x v="1"/>
    <s v="Training"/>
    <n v="10500000"/>
    <n v="5227468"/>
    <n v="5272532"/>
    <n v="0.50214590476190479"/>
    <s v="Excellent"/>
    <n v="0.4"/>
    <s v="Kalimantan"/>
    <s v="Budi R."/>
    <n v="9705009"/>
  </r>
  <r>
    <s v="2022-06-13"/>
    <x v="5"/>
    <x v="2"/>
    <s v="Subscription"/>
    <n v="900000"/>
    <n v="340083"/>
    <n v="559917"/>
    <n v="0.62212999999999996"/>
    <s v="Excellent"/>
    <n v="0.35"/>
    <s v="Bali &amp; NTT"/>
    <s v="Eko F."/>
    <n v="981831"/>
  </r>
  <r>
    <s v="2022-06-15"/>
    <x v="5"/>
    <x v="2"/>
    <s v="Software"/>
    <n v="2100000"/>
    <n v="994309"/>
    <n v="1105691"/>
    <n v="0.52651952380952383"/>
    <s v="Excellent"/>
    <n v="0.35"/>
    <s v="Jawa"/>
    <s v="Gilang T."/>
    <n v="2627828"/>
  </r>
  <r>
    <s v="2022-06-16"/>
    <x v="5"/>
    <x v="0"/>
    <s v="Bundle"/>
    <n v="15600000"/>
    <n v="6617206"/>
    <n v="8982794"/>
    <n v="0.57582012820512818"/>
    <s v="Excellent"/>
    <n v="0.25"/>
    <s v="Kalimantan"/>
    <s v="Dian P."/>
    <n v="15695799"/>
  </r>
  <r>
    <s v="2022-06-16"/>
    <x v="5"/>
    <x v="2"/>
    <s v="Subscription"/>
    <n v="15800000"/>
    <n v="6839091"/>
    <n v="8960909"/>
    <n v="0.56714613924050628"/>
    <s v="Excellent"/>
    <n v="0.35"/>
    <s v="Sumatera"/>
    <s v="Budi R."/>
    <n v="13506429"/>
  </r>
  <r>
    <s v="2022-06-20"/>
    <x v="5"/>
    <x v="1"/>
    <s v="Support"/>
    <n v="2000000"/>
    <n v="921557"/>
    <n v="1078443"/>
    <n v="0.53922150000000002"/>
    <s v="Excellent"/>
    <n v="0.4"/>
    <s v="Jawa"/>
    <s v="Gilang T."/>
    <n v="2321547"/>
  </r>
  <r>
    <s v="2022-06-24"/>
    <x v="5"/>
    <x v="1"/>
    <s v="Support"/>
    <n v="17000000"/>
    <n v="8795354"/>
    <n v="8204646"/>
    <n v="0.48262623529411763"/>
    <s v="Excellent"/>
    <n v="0.4"/>
    <s v="Sulawesi"/>
    <s v="Eko F."/>
    <n v="19809690"/>
  </r>
  <r>
    <s v="2022-06-25"/>
    <x v="5"/>
    <x v="2"/>
    <s v="Subscription"/>
    <n v="10700000"/>
    <n v="4035808"/>
    <n v="6664192"/>
    <n v="0.62282168224299062"/>
    <s v="Excellent"/>
    <n v="0.35"/>
    <s v="Jawa"/>
    <s v="Hani M."/>
    <n v="11474066"/>
  </r>
  <r>
    <s v="2022-06-26"/>
    <x v="5"/>
    <x v="2"/>
    <s v="API Services"/>
    <n v="16300000"/>
    <n v="7735170"/>
    <n v="8564830"/>
    <n v="0.52544969325153379"/>
    <s v="Excellent"/>
    <n v="0.35"/>
    <s v="Kalimantan"/>
    <s v="Budi R."/>
    <n v="17401994"/>
  </r>
  <r>
    <s v="2022-06-26"/>
    <x v="5"/>
    <x v="1"/>
    <s v="Training"/>
    <n v="7600000"/>
    <n v="3259887"/>
    <n v="4340113"/>
    <n v="0.57106749999999995"/>
    <s v="Excellent"/>
    <n v="0.4"/>
    <s v="Jawa"/>
    <s v="Dian P."/>
    <n v="8383868"/>
  </r>
  <r>
    <s v="2022-06-26"/>
    <x v="5"/>
    <x v="2"/>
    <s v="Subscription"/>
    <n v="12700000"/>
    <n v="7117012"/>
    <n v="5582988"/>
    <n v="0.43960535433070869"/>
    <s v="Excellent"/>
    <n v="0.35"/>
    <s v="Kalimantan"/>
    <s v="Hani M."/>
    <n v="11029055"/>
  </r>
  <r>
    <s v="2022-06-27"/>
    <x v="5"/>
    <x v="2"/>
    <s v="Subscription"/>
    <n v="3200000"/>
    <n v="1122534"/>
    <n v="2077466"/>
    <n v="0.64920812500000002"/>
    <s v="Excellent"/>
    <n v="0.35"/>
    <s v="Sulawesi"/>
    <s v="Gilang T."/>
    <n v="3633858"/>
  </r>
  <r>
    <s v="2022-06-29"/>
    <x v="5"/>
    <x v="2"/>
    <s v="API Services"/>
    <n v="1600000"/>
    <n v="822644"/>
    <n v="777356"/>
    <n v="0.48584749999999999"/>
    <s v="Excellent"/>
    <n v="0.35"/>
    <s v="Kalimantan"/>
    <s v="Eko F."/>
    <n v="2047543"/>
  </r>
  <r>
    <s v="2022-06-29"/>
    <x v="5"/>
    <x v="2"/>
    <s v="Subscription"/>
    <n v="9200000"/>
    <n v="4038329"/>
    <n v="5161671"/>
    <n v="0.56105119565217387"/>
    <s v="Excellent"/>
    <n v="0.35"/>
    <s v="Bali &amp; NTT"/>
    <s v="Citra W."/>
    <n v="11120029"/>
  </r>
  <r>
    <s v="2022-06-29"/>
    <x v="5"/>
    <x v="2"/>
    <s v="Software"/>
    <n v="5200000"/>
    <n v="2910942"/>
    <n v="2289058"/>
    <n v="0.44020346153846152"/>
    <s v="Excellent"/>
    <n v="0.35"/>
    <s v="Sumatera"/>
    <s v="Eko F."/>
    <n v="6258401"/>
  </r>
  <r>
    <s v="2022-06-29"/>
    <x v="5"/>
    <x v="2"/>
    <s v="Subscription"/>
    <n v="18000000"/>
    <n v="7267808"/>
    <n v="10732192"/>
    <n v="0.59623288888888892"/>
    <s v="Excellent"/>
    <n v="0.35"/>
    <s v="Sumatera"/>
    <s v="Citra W."/>
    <n v="18386084"/>
  </r>
  <r>
    <s v="2022-07-01"/>
    <x v="6"/>
    <x v="0"/>
    <s v="Hardware"/>
    <n v="10000000"/>
    <n v="5793959"/>
    <n v="4206041"/>
    <n v="0.42060409999999998"/>
    <s v="Excellent"/>
    <n v="0.25"/>
    <s v="Sumatera"/>
    <s v="Citra W."/>
    <n v="10009793"/>
  </r>
  <r>
    <s v="2022-07-02"/>
    <x v="6"/>
    <x v="1"/>
    <s v="Konsultasi"/>
    <n v="8200000"/>
    <n v="4833910"/>
    <n v="3366090"/>
    <n v="0.41049878048780486"/>
    <s v="Excellent"/>
    <n v="0.4"/>
    <s v="Jawa"/>
    <s v="Gilang T."/>
    <n v="10292995"/>
  </r>
  <r>
    <s v="2022-07-03"/>
    <x v="6"/>
    <x v="2"/>
    <s v="API Services"/>
    <n v="5200000"/>
    <n v="2139340"/>
    <n v="3060660"/>
    <n v="0.58858846153846156"/>
    <s v="Excellent"/>
    <n v="0.35"/>
    <s v="Sumatera"/>
    <s v="Eko F."/>
    <n v="4182740"/>
  </r>
  <r>
    <s v="2022-07-04"/>
    <x v="6"/>
    <x v="0"/>
    <s v="Hardware"/>
    <n v="18200000"/>
    <n v="7309362"/>
    <n v="10890638"/>
    <n v="0.59838670329670329"/>
    <s v="Excellent"/>
    <n v="0.25"/>
    <s v="Sumatera"/>
    <s v="Eko F."/>
    <n v="19723275"/>
  </r>
  <r>
    <s v="2022-07-05"/>
    <x v="6"/>
    <x v="2"/>
    <s v="API Services"/>
    <n v="13100000"/>
    <n v="6971384"/>
    <n v="6128616"/>
    <n v="0.46783328244274808"/>
    <s v="Excellent"/>
    <n v="0.35"/>
    <s v="Jawa"/>
    <s v="Gilang T."/>
    <n v="12653225"/>
  </r>
  <r>
    <s v="2022-07-05"/>
    <x v="6"/>
    <x v="0"/>
    <s v="Aksesoris"/>
    <n v="12300000"/>
    <n v="5291610"/>
    <n v="7008390"/>
    <n v="0.56978780487804881"/>
    <s v="Excellent"/>
    <n v="0.25"/>
    <s v="Kalimantan"/>
    <s v="Eko F."/>
    <n v="14432983"/>
  </r>
  <r>
    <s v="2022-07-09"/>
    <x v="6"/>
    <x v="1"/>
    <s v="Konsultasi"/>
    <n v="2500000"/>
    <n v="984906"/>
    <n v="1515094"/>
    <n v="0.60603759999999995"/>
    <s v="Excellent"/>
    <n v="0.4"/>
    <s v="Sumatera"/>
    <s v="Dian P."/>
    <n v="2247150"/>
  </r>
  <r>
    <s v="2022-07-09"/>
    <x v="6"/>
    <x v="1"/>
    <s v="Konsultasi"/>
    <n v="4000000"/>
    <n v="2331410"/>
    <n v="1668590"/>
    <n v="0.4171475"/>
    <s v="Excellent"/>
    <n v="0.4"/>
    <s v="Jawa"/>
    <s v="Fani A."/>
    <n v="4405812"/>
  </r>
  <r>
    <s v="2022-07-09"/>
    <x v="6"/>
    <x v="2"/>
    <s v="API Services"/>
    <n v="14100000"/>
    <n v="6325068"/>
    <n v="7774932"/>
    <n v="0.55141361702127656"/>
    <s v="Excellent"/>
    <n v="0.35"/>
    <s v="Jawa"/>
    <s v="Dian P."/>
    <n v="11709211"/>
  </r>
  <r>
    <s v="2022-07-11"/>
    <x v="6"/>
    <x v="0"/>
    <s v="Hardware"/>
    <n v="18900000"/>
    <n v="9807923"/>
    <n v="9092077"/>
    <n v="0.48106227513227512"/>
    <s v="Excellent"/>
    <n v="0.25"/>
    <s v="Sumatera"/>
    <s v="Eko F."/>
    <n v="18332345"/>
  </r>
  <r>
    <s v="2022-07-11"/>
    <x v="6"/>
    <x v="2"/>
    <s v="Software"/>
    <n v="4600000"/>
    <n v="2344921"/>
    <n v="2255079"/>
    <n v="0.49023456521739128"/>
    <s v="Excellent"/>
    <n v="0.35"/>
    <s v="Bali &amp; NTT"/>
    <s v="Citra W."/>
    <n v="5699817"/>
  </r>
  <r>
    <s v="2022-07-12"/>
    <x v="6"/>
    <x v="0"/>
    <s v="Bundle"/>
    <n v="1800000"/>
    <n v="1000685"/>
    <n v="799315"/>
    <n v="0.44406388888888887"/>
    <s v="Excellent"/>
    <n v="0.25"/>
    <s v="Sulawesi"/>
    <s v="Citra W."/>
    <n v="2055748"/>
  </r>
  <r>
    <s v="2022-07-13"/>
    <x v="6"/>
    <x v="0"/>
    <s v="Bundle"/>
    <n v="2600000"/>
    <n v="1104711"/>
    <n v="1495289"/>
    <n v="0.57511115384615386"/>
    <s v="Excellent"/>
    <n v="0.25"/>
    <s v="Jawa"/>
    <s v="Citra W."/>
    <n v="2604198"/>
  </r>
  <r>
    <s v="2022-07-16"/>
    <x v="6"/>
    <x v="1"/>
    <s v="Konsultasi"/>
    <n v="17600000"/>
    <n v="6532270"/>
    <n v="11067730"/>
    <n v="0.62884829545454546"/>
    <s v="Excellent"/>
    <n v="0.4"/>
    <s v="Sulawesi"/>
    <s v="Eko F."/>
    <n v="17399985"/>
  </r>
  <r>
    <s v="2022-07-17"/>
    <x v="6"/>
    <x v="1"/>
    <s v="Konsultasi"/>
    <n v="16100000"/>
    <n v="9337996"/>
    <n v="6762004"/>
    <n v="0.42000024844720496"/>
    <s v="Excellent"/>
    <n v="0.4"/>
    <s v="Bali &amp; NTT"/>
    <s v="Gilang T."/>
    <n v="20429437"/>
  </r>
  <r>
    <s v="2022-07-17"/>
    <x v="6"/>
    <x v="1"/>
    <s v="Support"/>
    <n v="10000000"/>
    <n v="4476940"/>
    <n v="5523060"/>
    <n v="0.55230599999999996"/>
    <s v="Excellent"/>
    <n v="0.4"/>
    <s v="Sumatera"/>
    <s v="Citra W."/>
    <n v="11032182"/>
  </r>
  <r>
    <s v="2022-07-17"/>
    <x v="6"/>
    <x v="2"/>
    <s v="API Services"/>
    <n v="5700000"/>
    <n v="2509883"/>
    <n v="3190117"/>
    <n v="0.55966964912280703"/>
    <s v="Excellent"/>
    <n v="0.35"/>
    <s v="Bali &amp; NTT"/>
    <s v="Budi R."/>
    <n v="5693816"/>
  </r>
  <r>
    <s v="2022-07-18"/>
    <x v="6"/>
    <x v="1"/>
    <s v="Training"/>
    <n v="15500000"/>
    <n v="6645911"/>
    <n v="8854089"/>
    <n v="0.57123154838709678"/>
    <s v="Excellent"/>
    <n v="0.4"/>
    <s v="Sulawesi"/>
    <s v="Dian P."/>
    <n v="17893804"/>
  </r>
  <r>
    <s v="2022-07-22"/>
    <x v="6"/>
    <x v="2"/>
    <s v="Subscription"/>
    <n v="10500000"/>
    <n v="4090580"/>
    <n v="6409420"/>
    <n v="0.6104209523809524"/>
    <s v="Excellent"/>
    <n v="0.35"/>
    <s v="Bali &amp; NTT"/>
    <s v="Eko F."/>
    <n v="12756335"/>
  </r>
  <r>
    <s v="2022-07-22"/>
    <x v="6"/>
    <x v="1"/>
    <s v="Support"/>
    <n v="19100000"/>
    <n v="7707276"/>
    <n v="11392724"/>
    <n v="0.59647769633507852"/>
    <s v="Excellent"/>
    <n v="0.4"/>
    <s v="Sumatera"/>
    <s v="Gilang T."/>
    <n v="18083996"/>
  </r>
  <r>
    <s v="2022-07-23"/>
    <x v="6"/>
    <x v="1"/>
    <s v="Support"/>
    <n v="9500000"/>
    <n v="4573239"/>
    <n v="4926761"/>
    <n v="0.51860642105263155"/>
    <s v="Excellent"/>
    <n v="0.4"/>
    <s v="Bali &amp; NTT"/>
    <s v="Andi S."/>
    <n v="11304704"/>
  </r>
  <r>
    <s v="2022-07-23"/>
    <x v="6"/>
    <x v="0"/>
    <s v="Aksesoris"/>
    <n v="6800000"/>
    <n v="2389677"/>
    <n v="4410323"/>
    <n v="0.64857691176470589"/>
    <s v="Excellent"/>
    <n v="0.25"/>
    <s v="Sumatera"/>
    <s v="Gilang T."/>
    <n v="8077516"/>
  </r>
  <r>
    <s v="2022-07-23"/>
    <x v="6"/>
    <x v="2"/>
    <s v="Software"/>
    <n v="11600000"/>
    <n v="6307708"/>
    <n v="5292292"/>
    <n v="0.45623206896551727"/>
    <s v="Excellent"/>
    <n v="0.35"/>
    <s v="Sulawesi"/>
    <s v="Citra W."/>
    <n v="13632015"/>
  </r>
  <r>
    <s v="2022-07-24"/>
    <x v="6"/>
    <x v="0"/>
    <s v="Aksesoris"/>
    <n v="10400000"/>
    <n v="3733556"/>
    <n v="6666444"/>
    <n v="0.64100423076923074"/>
    <s v="Excellent"/>
    <n v="0.25"/>
    <s v="Sulawesi"/>
    <s v="Fani A."/>
    <n v="11813900"/>
  </r>
  <r>
    <s v="2022-07-26"/>
    <x v="6"/>
    <x v="2"/>
    <s v="API Services"/>
    <n v="13200000"/>
    <n v="5282600"/>
    <n v="7917400"/>
    <n v="0.59980303030303028"/>
    <s v="Excellent"/>
    <n v="0.35"/>
    <s v="Jawa"/>
    <s v="Hani M."/>
    <n v="13980288"/>
  </r>
  <r>
    <s v="2022-07-27"/>
    <x v="6"/>
    <x v="0"/>
    <s v="Hardware"/>
    <n v="2700000"/>
    <n v="1577638"/>
    <n v="1122362"/>
    <n v="0.41568962962962963"/>
    <s v="Excellent"/>
    <n v="0.25"/>
    <s v="Kalimantan"/>
    <s v="Fani A."/>
    <n v="3448160"/>
  </r>
  <r>
    <s v="2022-07-28"/>
    <x v="6"/>
    <x v="1"/>
    <s v="Support"/>
    <n v="900000"/>
    <n v="529756"/>
    <n v="370244"/>
    <n v="0.4113822222222222"/>
    <s v="Excellent"/>
    <n v="0.4"/>
    <s v="Bali &amp; NTT"/>
    <s v="Eko F."/>
    <n v="761029"/>
  </r>
  <r>
    <s v="2022-07-29"/>
    <x v="6"/>
    <x v="1"/>
    <s v="Support"/>
    <n v="7400000"/>
    <n v="3347026"/>
    <n v="4052974"/>
    <n v="0.54769918918918914"/>
    <s v="Excellent"/>
    <n v="0.4"/>
    <s v="Sulawesi"/>
    <s v="Gilang T."/>
    <n v="5957841"/>
  </r>
  <r>
    <s v="2022-07-29"/>
    <x v="6"/>
    <x v="2"/>
    <s v="API Services"/>
    <n v="19500000"/>
    <n v="11468071"/>
    <n v="8031929"/>
    <n v="0.41189379487179489"/>
    <s v="Excellent"/>
    <n v="0.35"/>
    <s v="Sulawesi"/>
    <s v="Citra W."/>
    <n v="23329434"/>
  </r>
  <r>
    <s v="2022-07-29"/>
    <x v="6"/>
    <x v="0"/>
    <s v="Bundle"/>
    <n v="13800000"/>
    <n v="5428283"/>
    <n v="8371717"/>
    <n v="0.60664615942028988"/>
    <s v="Excellent"/>
    <n v="0.25"/>
    <s v="Kalimantan"/>
    <s v="Dian P."/>
    <n v="16039689"/>
  </r>
  <r>
    <s v="2022-07-29"/>
    <x v="6"/>
    <x v="2"/>
    <s v="API Services"/>
    <n v="15000000"/>
    <n v="5474549"/>
    <n v="9525451"/>
    <n v="0.63503006666666661"/>
    <s v="Excellent"/>
    <n v="0.35"/>
    <s v="Bali &amp; NTT"/>
    <s v="Eko F."/>
    <n v="12835740"/>
  </r>
  <r>
    <s v="2022-07-30"/>
    <x v="6"/>
    <x v="1"/>
    <s v="Support"/>
    <n v="9100000"/>
    <n v="3601502"/>
    <n v="5498498"/>
    <n v="0.60423054945054944"/>
    <s v="Excellent"/>
    <n v="0.4"/>
    <s v="Sulawesi"/>
    <s v="Fani A."/>
    <n v="10226021"/>
  </r>
  <r>
    <s v="2022-07-31"/>
    <x v="6"/>
    <x v="0"/>
    <s v="Bundle"/>
    <n v="10400000"/>
    <n v="5511920"/>
    <n v="4888080"/>
    <n v="0.47000769230769229"/>
    <s v="Excellent"/>
    <n v="0.25"/>
    <s v="Sulawesi"/>
    <s v="Citra W."/>
    <n v="10700998"/>
  </r>
  <r>
    <s v="2022-08-01"/>
    <x v="7"/>
    <x v="0"/>
    <s v="Hardware"/>
    <n v="3400000"/>
    <n v="1838349"/>
    <n v="1561651"/>
    <n v="0.45930911764705884"/>
    <s v="Excellent"/>
    <n v="0.25"/>
    <s v="Sumatera"/>
    <s v="Dian P."/>
    <n v="4196730"/>
  </r>
  <r>
    <s v="2022-08-01"/>
    <x v="7"/>
    <x v="0"/>
    <s v="Aksesoris"/>
    <n v="6800000"/>
    <n v="3078342"/>
    <n v="3721658"/>
    <n v="0.54730264705882348"/>
    <s v="Excellent"/>
    <n v="0.25"/>
    <s v="Sumatera"/>
    <s v="Budi R."/>
    <n v="7851812"/>
  </r>
  <r>
    <s v="2022-08-02"/>
    <x v="7"/>
    <x v="0"/>
    <s v="Aksesoris"/>
    <n v="11100000"/>
    <n v="5163113"/>
    <n v="5936887"/>
    <n v="0.53485468468468467"/>
    <s v="Excellent"/>
    <n v="0.25"/>
    <s v="Sulawesi"/>
    <s v="Hani M."/>
    <n v="11390330"/>
  </r>
  <r>
    <s v="2022-08-02"/>
    <x v="7"/>
    <x v="2"/>
    <s v="API Services"/>
    <n v="13000000"/>
    <n v="4573245"/>
    <n v="8426755"/>
    <n v="0.6482119230769231"/>
    <s v="Excellent"/>
    <n v="0.35"/>
    <s v="Bali &amp; NTT"/>
    <s v="Fani A."/>
    <n v="14961857"/>
  </r>
  <r>
    <s v="2022-08-03"/>
    <x v="7"/>
    <x v="1"/>
    <s v="Support"/>
    <n v="2900000"/>
    <n v="1704874"/>
    <n v="1195126"/>
    <n v="0.41211241379310343"/>
    <s v="Excellent"/>
    <n v="0.4"/>
    <s v="Jawa"/>
    <s v="Andi S."/>
    <n v="2596959"/>
  </r>
  <r>
    <s v="2022-08-05"/>
    <x v="7"/>
    <x v="2"/>
    <s v="Subscription"/>
    <n v="17900000"/>
    <n v="9212528"/>
    <n v="8687472"/>
    <n v="0.48533363128491619"/>
    <s v="Excellent"/>
    <n v="0.35"/>
    <s v="Bali &amp; NTT"/>
    <s v="Eko F."/>
    <n v="20912081"/>
  </r>
  <r>
    <s v="2022-08-06"/>
    <x v="7"/>
    <x v="2"/>
    <s v="API Services"/>
    <n v="10000000"/>
    <n v="5036271"/>
    <n v="4963729"/>
    <n v="0.49637290000000001"/>
    <s v="Excellent"/>
    <n v="0.35"/>
    <s v="Jawa"/>
    <s v="Fani A."/>
    <n v="8620685"/>
  </r>
  <r>
    <s v="2022-08-08"/>
    <x v="7"/>
    <x v="2"/>
    <s v="Subscription"/>
    <n v="6900000"/>
    <n v="2556740"/>
    <n v="4343260"/>
    <n v="0.62945797101449275"/>
    <s v="Excellent"/>
    <n v="0.35"/>
    <s v="Sulawesi"/>
    <s v="Eko F."/>
    <n v="8533382"/>
  </r>
  <r>
    <s v="2022-08-09"/>
    <x v="7"/>
    <x v="1"/>
    <s v="Training"/>
    <n v="8400000"/>
    <n v="4070630"/>
    <n v="4329370"/>
    <n v="0.51540119047619048"/>
    <s v="Excellent"/>
    <n v="0.4"/>
    <s v="Kalimantan"/>
    <s v="Dian P."/>
    <n v="9553604"/>
  </r>
  <r>
    <s v="2022-08-09"/>
    <x v="7"/>
    <x v="1"/>
    <s v="Konsultasi"/>
    <n v="11300000"/>
    <n v="6050716"/>
    <n v="5249284"/>
    <n v="0.464538407079646"/>
    <s v="Excellent"/>
    <n v="0.4"/>
    <s v="Kalimantan"/>
    <s v="Gilang T."/>
    <n v="11146438"/>
  </r>
  <r>
    <s v="2022-08-10"/>
    <x v="7"/>
    <x v="0"/>
    <s v="Aksesoris"/>
    <n v="3000000"/>
    <n v="1116532"/>
    <n v="1883468"/>
    <n v="0.62782266666666664"/>
    <s v="Excellent"/>
    <n v="0.25"/>
    <s v="Bali &amp; NTT"/>
    <s v="Eko F."/>
    <n v="3274318"/>
  </r>
  <r>
    <s v="2022-08-10"/>
    <x v="7"/>
    <x v="2"/>
    <s v="Subscription"/>
    <n v="16900000"/>
    <n v="7279760"/>
    <n v="9620240"/>
    <n v="0.56924497041420119"/>
    <s v="Excellent"/>
    <n v="0.35"/>
    <s v="Sulawesi"/>
    <s v="Andi S."/>
    <n v="15427313"/>
  </r>
  <r>
    <s v="2022-08-11"/>
    <x v="7"/>
    <x v="1"/>
    <s v="Konsultasi"/>
    <n v="15000000"/>
    <n v="5979757"/>
    <n v="9020243"/>
    <n v="0.6013495333333333"/>
    <s v="Excellent"/>
    <n v="0.4"/>
    <s v="Bali &amp; NTT"/>
    <s v="Fani A."/>
    <n v="18552046"/>
  </r>
  <r>
    <s v="2022-08-13"/>
    <x v="7"/>
    <x v="2"/>
    <s v="Subscription"/>
    <n v="4400000"/>
    <n v="2558656"/>
    <n v="1841344"/>
    <n v="0.41848727272727271"/>
    <s v="Excellent"/>
    <n v="0.35"/>
    <s v="Bali &amp; NTT"/>
    <s v="Fani A."/>
    <n v="5054239"/>
  </r>
  <r>
    <s v="2022-08-13"/>
    <x v="7"/>
    <x v="2"/>
    <s v="Subscription"/>
    <n v="7900000"/>
    <n v="3253092"/>
    <n v="4646908"/>
    <n v="0.58821620253164553"/>
    <s v="Excellent"/>
    <n v="0.35"/>
    <s v="Kalimantan"/>
    <s v="Eko F."/>
    <n v="6397263"/>
  </r>
  <r>
    <s v="2022-08-14"/>
    <x v="7"/>
    <x v="1"/>
    <s v="Support"/>
    <n v="2700000"/>
    <n v="1294619"/>
    <n v="1405381"/>
    <n v="0.52051148148148152"/>
    <s v="Excellent"/>
    <n v="0.4"/>
    <s v="Jawa"/>
    <s v="Gilang T."/>
    <n v="3003534"/>
  </r>
  <r>
    <s v="2022-08-15"/>
    <x v="7"/>
    <x v="1"/>
    <s v="Training"/>
    <n v="2300000"/>
    <n v="1215569"/>
    <n v="1084431"/>
    <n v="0.47149173913043479"/>
    <s v="Excellent"/>
    <n v="0.4"/>
    <s v="Bali &amp; NTT"/>
    <s v="Andi S."/>
    <n v="2409566"/>
  </r>
  <r>
    <s v="2022-08-18"/>
    <x v="7"/>
    <x v="2"/>
    <s v="Software"/>
    <n v="8300000"/>
    <n v="4208365"/>
    <n v="4091635"/>
    <n v="0.49296807228915662"/>
    <s v="Excellent"/>
    <n v="0.35"/>
    <s v="Bali &amp; NTT"/>
    <s v="Budi R."/>
    <n v="7137907"/>
  </r>
  <r>
    <s v="2022-08-19"/>
    <x v="7"/>
    <x v="1"/>
    <s v="Konsultasi"/>
    <n v="19500000"/>
    <n v="7287097"/>
    <n v="12212903"/>
    <n v="0.62630271794871795"/>
    <s v="Excellent"/>
    <n v="0.4"/>
    <s v="Bali &amp; NTT"/>
    <s v="Budi R."/>
    <n v="19537425"/>
  </r>
  <r>
    <s v="2022-08-20"/>
    <x v="7"/>
    <x v="0"/>
    <s v="Hardware"/>
    <n v="10700000"/>
    <n v="4075286"/>
    <n v="6624714"/>
    <n v="0.61913214953271023"/>
    <s v="Excellent"/>
    <n v="0.25"/>
    <s v="Sumatera"/>
    <s v="Dian P."/>
    <n v="12517154"/>
  </r>
  <r>
    <s v="2022-08-20"/>
    <x v="7"/>
    <x v="2"/>
    <s v="Subscription"/>
    <n v="12800000"/>
    <n v="5351003"/>
    <n v="7448997"/>
    <n v="0.581952890625"/>
    <s v="Excellent"/>
    <n v="0.35"/>
    <s v="Kalimantan"/>
    <s v="Hani M."/>
    <n v="16255616"/>
  </r>
  <r>
    <s v="2022-08-21"/>
    <x v="7"/>
    <x v="1"/>
    <s v="Training"/>
    <n v="14700000"/>
    <n v="7977833"/>
    <n v="6722167"/>
    <n v="0.45729027210884354"/>
    <s v="Excellent"/>
    <n v="0.4"/>
    <s v="Kalimantan"/>
    <s v="Dian P."/>
    <n v="14606475"/>
  </r>
  <r>
    <s v="2022-08-22"/>
    <x v="7"/>
    <x v="2"/>
    <s v="Subscription"/>
    <n v="16000000"/>
    <n v="8494916"/>
    <n v="7505084"/>
    <n v="0.46906775000000001"/>
    <s v="Excellent"/>
    <n v="0.35"/>
    <s v="Sumatera"/>
    <s v="Hani M."/>
    <n v="16262849"/>
  </r>
  <r>
    <s v="2022-08-23"/>
    <x v="7"/>
    <x v="1"/>
    <s v="Training"/>
    <n v="19400000"/>
    <n v="6901155"/>
    <n v="12498845"/>
    <n v="0.64427036082474232"/>
    <s v="Excellent"/>
    <n v="0.4"/>
    <s v="Bali &amp; NTT"/>
    <s v="Gilang T."/>
    <n v="23140394"/>
  </r>
  <r>
    <s v="2022-08-26"/>
    <x v="7"/>
    <x v="1"/>
    <s v="Support"/>
    <n v="1700000"/>
    <n v="716769"/>
    <n v="983231"/>
    <n v="0.57837117647058822"/>
    <s v="Excellent"/>
    <n v="0.4"/>
    <s v="Kalimantan"/>
    <s v="Hani M."/>
    <n v="1435153"/>
  </r>
  <r>
    <s v="2022-08-27"/>
    <x v="7"/>
    <x v="2"/>
    <s v="Subscription"/>
    <n v="18900000"/>
    <n v="8541063"/>
    <n v="10358937"/>
    <n v="0.54809190476190472"/>
    <s v="Excellent"/>
    <n v="0.35"/>
    <s v="Sumatera"/>
    <s v="Dian P."/>
    <n v="15124010"/>
  </r>
  <r>
    <s v="2022-08-29"/>
    <x v="7"/>
    <x v="0"/>
    <s v="Bundle"/>
    <n v="8800000"/>
    <n v="3543204"/>
    <n v="5256796"/>
    <n v="0.59736318181818182"/>
    <s v="Excellent"/>
    <n v="0.25"/>
    <s v="Sumatera"/>
    <s v="Andi S."/>
    <n v="9069661"/>
  </r>
  <r>
    <s v="2022-08-31"/>
    <x v="7"/>
    <x v="2"/>
    <s v="Software"/>
    <n v="14600000"/>
    <n v="7242038"/>
    <n v="7357962"/>
    <n v="0.50397000000000003"/>
    <s v="Excellent"/>
    <n v="0.35"/>
    <s v="Sumatera"/>
    <s v="Gilang T."/>
    <n v="17245163"/>
  </r>
  <r>
    <s v="2022-09-01"/>
    <x v="8"/>
    <x v="0"/>
    <s v="Bundle"/>
    <n v="14500000"/>
    <n v="7745385"/>
    <n v="6754615"/>
    <n v="0.46583551724137934"/>
    <s v="Excellent"/>
    <n v="0.25"/>
    <s v="Sulawesi"/>
    <s v="Andi S."/>
    <n v="15432407"/>
  </r>
  <r>
    <s v="2022-09-05"/>
    <x v="8"/>
    <x v="1"/>
    <s v="Training"/>
    <n v="18400000"/>
    <n v="10870924"/>
    <n v="7529076"/>
    <n v="0.40918891304347826"/>
    <s v="Excellent"/>
    <n v="0.4"/>
    <s v="Jawa"/>
    <s v="Eko F."/>
    <n v="18599401"/>
  </r>
  <r>
    <s v="2022-09-05"/>
    <x v="8"/>
    <x v="0"/>
    <s v="Bundle"/>
    <n v="9900000"/>
    <n v="4549318"/>
    <n v="5350682"/>
    <n v="0.54047292929292934"/>
    <s v="Excellent"/>
    <n v="0.25"/>
    <s v="Bali &amp; NTT"/>
    <s v="Andi S."/>
    <n v="8626655"/>
  </r>
  <r>
    <s v="2022-09-05"/>
    <x v="8"/>
    <x v="1"/>
    <s v="Training"/>
    <n v="1300000"/>
    <n v="559933"/>
    <n v="740067"/>
    <n v="0.5692823076923077"/>
    <s v="Excellent"/>
    <n v="0.4"/>
    <s v="Sulawesi"/>
    <s v="Dian P."/>
    <n v="1399206"/>
  </r>
  <r>
    <s v="2022-09-05"/>
    <x v="8"/>
    <x v="1"/>
    <s v="Support"/>
    <n v="2600000"/>
    <n v="1130422"/>
    <n v="1469578"/>
    <n v="0.56522230769230775"/>
    <s v="Excellent"/>
    <n v="0.4"/>
    <s v="Kalimantan"/>
    <s v="Eko F."/>
    <n v="2778836"/>
  </r>
  <r>
    <s v="2022-09-08"/>
    <x v="8"/>
    <x v="1"/>
    <s v="Support"/>
    <n v="16200000"/>
    <n v="7996375"/>
    <n v="8203625"/>
    <n v="0.50639660493827165"/>
    <s v="Excellent"/>
    <n v="0.4"/>
    <s v="Sumatera"/>
    <s v="Hani M."/>
    <n v="20447888"/>
  </r>
  <r>
    <s v="2022-09-09"/>
    <x v="8"/>
    <x v="0"/>
    <s v="Aksesoris"/>
    <n v="18800000"/>
    <n v="7852480"/>
    <n v="10947520"/>
    <n v="0.58231489361702127"/>
    <s v="Excellent"/>
    <n v="0.25"/>
    <s v="Bali &amp; NTT"/>
    <s v="Fani A."/>
    <n v="20380980"/>
  </r>
  <r>
    <s v="2022-09-10"/>
    <x v="8"/>
    <x v="2"/>
    <s v="API Services"/>
    <n v="500000"/>
    <n v="215901"/>
    <n v="284099"/>
    <n v="0.56819799999999998"/>
    <s v="Excellent"/>
    <n v="0.35"/>
    <s v="Sulawesi"/>
    <s v="Citra W."/>
    <n v="606209"/>
  </r>
  <r>
    <s v="2022-09-10"/>
    <x v="8"/>
    <x v="1"/>
    <s v="Training"/>
    <n v="18200000"/>
    <n v="6572422"/>
    <n v="11627578"/>
    <n v="0.63887791208791211"/>
    <s v="Excellent"/>
    <n v="0.4"/>
    <s v="Sulawesi"/>
    <s v="Budi R."/>
    <n v="15591835"/>
  </r>
  <r>
    <s v="2022-09-12"/>
    <x v="8"/>
    <x v="0"/>
    <s v="Aksesoris"/>
    <n v="18400000"/>
    <n v="10205498"/>
    <n v="8194502"/>
    <n v="0.44535336956521737"/>
    <s v="Excellent"/>
    <n v="0.25"/>
    <s v="Kalimantan"/>
    <s v="Dian P."/>
    <n v="14820408"/>
  </r>
  <r>
    <s v="2022-09-12"/>
    <x v="8"/>
    <x v="2"/>
    <s v="Software"/>
    <n v="20000000"/>
    <n v="8611597"/>
    <n v="11388403"/>
    <n v="0.56942015000000001"/>
    <s v="Excellent"/>
    <n v="0.35"/>
    <s v="Bali &amp; NTT"/>
    <s v="Eko F."/>
    <n v="17830153"/>
  </r>
  <r>
    <s v="2022-09-13"/>
    <x v="8"/>
    <x v="2"/>
    <s v="Subscription"/>
    <n v="5200000"/>
    <n v="2769039"/>
    <n v="2430961"/>
    <n v="0.46749249999999998"/>
    <s v="Excellent"/>
    <n v="0.35"/>
    <s v="Sulawesi"/>
    <s v="Eko F."/>
    <n v="4942881"/>
  </r>
  <r>
    <s v="2022-09-15"/>
    <x v="8"/>
    <x v="1"/>
    <s v="Training"/>
    <n v="7400000"/>
    <n v="4208290"/>
    <n v="3191710"/>
    <n v="0.43131216216216217"/>
    <s v="Excellent"/>
    <n v="0.4"/>
    <s v="Sumatera"/>
    <s v="Fani A."/>
    <n v="8119405"/>
  </r>
  <r>
    <s v="2022-09-15"/>
    <x v="8"/>
    <x v="1"/>
    <s v="Training"/>
    <n v="15500000"/>
    <n v="6197933"/>
    <n v="9302067"/>
    <n v="0.60013335483870967"/>
    <s v="Excellent"/>
    <n v="0.4"/>
    <s v="Bali &amp; NTT"/>
    <s v="Fani A."/>
    <n v="15515140"/>
  </r>
  <r>
    <s v="2022-09-16"/>
    <x v="8"/>
    <x v="2"/>
    <s v="API Services"/>
    <n v="7600000"/>
    <n v="4525869"/>
    <n v="3074131"/>
    <n v="0.40449092105263157"/>
    <s v="Excellent"/>
    <n v="0.35"/>
    <s v="Jawa"/>
    <s v="Hani M."/>
    <n v="9516263"/>
  </r>
  <r>
    <s v="2022-09-17"/>
    <x v="8"/>
    <x v="0"/>
    <s v="Bundle"/>
    <n v="9300000"/>
    <n v="4074279"/>
    <n v="5225721"/>
    <n v="0.56190548387096773"/>
    <s v="Excellent"/>
    <n v="0.25"/>
    <s v="Kalimantan"/>
    <s v="Hani M."/>
    <n v="11929986"/>
  </r>
  <r>
    <s v="2022-09-17"/>
    <x v="8"/>
    <x v="1"/>
    <s v="Konsultasi"/>
    <n v="18300000"/>
    <n v="8769068"/>
    <n v="9530932"/>
    <n v="0.520815956284153"/>
    <s v="Excellent"/>
    <n v="0.4"/>
    <s v="Sulawesi"/>
    <s v="Eko F."/>
    <n v="16231355"/>
  </r>
  <r>
    <s v="2022-09-17"/>
    <x v="8"/>
    <x v="1"/>
    <s v="Training"/>
    <n v="16100000"/>
    <n v="8514850"/>
    <n v="7585150"/>
    <n v="0.47112732919254657"/>
    <s v="Excellent"/>
    <n v="0.4"/>
    <s v="Sulawesi"/>
    <s v="Hani M."/>
    <n v="13817655"/>
  </r>
  <r>
    <s v="2022-09-18"/>
    <x v="8"/>
    <x v="1"/>
    <s v="Support"/>
    <n v="4700000"/>
    <n v="2514160"/>
    <n v="2185840"/>
    <n v="0.46507234042553192"/>
    <s v="Excellent"/>
    <n v="0.4"/>
    <s v="Kalimantan"/>
    <s v="Hani M."/>
    <n v="5367425"/>
  </r>
  <r>
    <s v="2022-09-21"/>
    <x v="8"/>
    <x v="2"/>
    <s v="Subscription"/>
    <n v="19400000"/>
    <n v="6891545"/>
    <n v="12508455"/>
    <n v="0.64476572164948454"/>
    <s v="Excellent"/>
    <n v="0.35"/>
    <s v="Sumatera"/>
    <s v="Andi S."/>
    <n v="23332869"/>
  </r>
  <r>
    <s v="2022-09-26"/>
    <x v="8"/>
    <x v="0"/>
    <s v="Hardware"/>
    <n v="19700000"/>
    <n v="9021964"/>
    <n v="10678036"/>
    <n v="0.54203228426395944"/>
    <s v="Excellent"/>
    <n v="0.25"/>
    <s v="Sulawesi"/>
    <s v="Andi S."/>
    <n v="24336086"/>
  </r>
  <r>
    <s v="2022-09-27"/>
    <x v="8"/>
    <x v="2"/>
    <s v="Subscription"/>
    <n v="13900000"/>
    <n v="7209347"/>
    <n v="6690653"/>
    <n v="0.48134194244604317"/>
    <s v="Excellent"/>
    <n v="0.35"/>
    <s v="Sumatera"/>
    <s v="Dian P."/>
    <n v="12946453"/>
  </r>
  <r>
    <s v="2022-09-29"/>
    <x v="8"/>
    <x v="1"/>
    <s v="Training"/>
    <n v="1100000"/>
    <n v="458052"/>
    <n v="641948"/>
    <n v="0.58358909090909095"/>
    <s v="Excellent"/>
    <n v="0.4"/>
    <s v="Sumatera"/>
    <s v="Budi R."/>
    <n v="1161435"/>
  </r>
  <r>
    <s v="2022-09-30"/>
    <x v="8"/>
    <x v="1"/>
    <s v="Training"/>
    <n v="13500000"/>
    <n v="6035916"/>
    <n v="7464084"/>
    <n v="0.55289511111111111"/>
    <s v="Excellent"/>
    <n v="0.4"/>
    <s v="Bali &amp; NTT"/>
    <s v="Eko F."/>
    <n v="16435050"/>
  </r>
  <r>
    <s v="2022-09-30"/>
    <x v="8"/>
    <x v="1"/>
    <s v="Training"/>
    <n v="14100000"/>
    <n v="7390824"/>
    <n v="6709176"/>
    <n v="0.47582808510638297"/>
    <s v="Excellent"/>
    <n v="0.4"/>
    <s v="Jawa"/>
    <s v="Gilang T."/>
    <n v="12887062"/>
  </r>
  <r>
    <s v="2022-10-01"/>
    <x v="9"/>
    <x v="0"/>
    <s v="Bundle"/>
    <n v="4300000"/>
    <n v="1763645"/>
    <n v="2536355"/>
    <n v="0.58984999999999999"/>
    <s v="Excellent"/>
    <n v="0.25"/>
    <s v="Kalimantan"/>
    <s v="Eko F."/>
    <n v="5152009"/>
  </r>
  <r>
    <s v="2022-10-01"/>
    <x v="9"/>
    <x v="2"/>
    <s v="API Services"/>
    <n v="9500000"/>
    <n v="3869676"/>
    <n v="5630324"/>
    <n v="0.59266568421052634"/>
    <s v="Excellent"/>
    <n v="0.35"/>
    <s v="Jawa"/>
    <s v="Gilang T."/>
    <n v="8160091"/>
  </r>
  <r>
    <s v="2022-10-02"/>
    <x v="9"/>
    <x v="1"/>
    <s v="Training"/>
    <n v="13800000"/>
    <n v="5709098"/>
    <n v="8090902"/>
    <n v="0.58629724637681158"/>
    <s v="Excellent"/>
    <n v="0.4"/>
    <s v="Bali &amp; NTT"/>
    <s v="Eko F."/>
    <n v="11721958"/>
  </r>
  <r>
    <s v="2022-10-02"/>
    <x v="9"/>
    <x v="0"/>
    <s v="Hardware"/>
    <n v="13900000"/>
    <n v="6231277"/>
    <n v="7668723"/>
    <n v="0.55170669064748201"/>
    <s v="Excellent"/>
    <n v="0.25"/>
    <s v="Sumatera"/>
    <s v="Citra W."/>
    <n v="15245484"/>
  </r>
  <r>
    <s v="2022-10-03"/>
    <x v="9"/>
    <x v="2"/>
    <s v="Software"/>
    <n v="9800000"/>
    <n v="3944955"/>
    <n v="5855045"/>
    <n v="0.59745357142857147"/>
    <s v="Excellent"/>
    <n v="0.35"/>
    <s v="Kalimantan"/>
    <s v="Eko F."/>
    <n v="9347144"/>
  </r>
  <r>
    <s v="2022-10-04"/>
    <x v="9"/>
    <x v="2"/>
    <s v="API Services"/>
    <n v="14900000"/>
    <n v="7001975"/>
    <n v="7898025"/>
    <n v="0.53006879194630874"/>
    <s v="Excellent"/>
    <n v="0.35"/>
    <s v="Sumatera"/>
    <s v="Dian P."/>
    <n v="17369183"/>
  </r>
  <r>
    <s v="2022-10-07"/>
    <x v="9"/>
    <x v="0"/>
    <s v="Aksesoris"/>
    <n v="8500000"/>
    <n v="4260138"/>
    <n v="4239862"/>
    <n v="0.49880729411764707"/>
    <s v="Excellent"/>
    <n v="0.25"/>
    <s v="Sumatera"/>
    <s v="Budi R."/>
    <n v="9079318"/>
  </r>
  <r>
    <s v="2022-10-10"/>
    <x v="9"/>
    <x v="0"/>
    <s v="Bundle"/>
    <n v="13500000"/>
    <n v="5834800"/>
    <n v="7665200"/>
    <n v="0.56779259259259263"/>
    <s v="Excellent"/>
    <n v="0.25"/>
    <s v="Kalimantan"/>
    <s v="Fani A."/>
    <n v="15302104"/>
  </r>
  <r>
    <s v="2022-10-12"/>
    <x v="9"/>
    <x v="2"/>
    <s v="Subscription"/>
    <n v="6900000"/>
    <n v="3450223"/>
    <n v="3449777"/>
    <n v="0.49996768115942031"/>
    <s v="Excellent"/>
    <n v="0.35"/>
    <s v="Sulawesi"/>
    <s v="Andi S."/>
    <n v="7681552"/>
  </r>
  <r>
    <s v="2022-10-12"/>
    <x v="9"/>
    <x v="0"/>
    <s v="Aksesoris"/>
    <n v="12300000"/>
    <n v="6304263"/>
    <n v="5995737"/>
    <n v="0.48745829268292684"/>
    <s v="Excellent"/>
    <n v="0.25"/>
    <s v="Kalimantan"/>
    <s v="Eko F."/>
    <n v="15908075"/>
  </r>
  <r>
    <s v="2022-10-12"/>
    <x v="9"/>
    <x v="2"/>
    <s v="API Services"/>
    <n v="5100000"/>
    <n v="2317784"/>
    <n v="2782216"/>
    <n v="0.54553254901960779"/>
    <s v="Excellent"/>
    <n v="0.35"/>
    <s v="Kalimantan"/>
    <s v="Fani A."/>
    <n v="6045692"/>
  </r>
  <r>
    <s v="2022-10-13"/>
    <x v="9"/>
    <x v="0"/>
    <s v="Bundle"/>
    <n v="11300000"/>
    <n v="5846859"/>
    <n v="5453141"/>
    <n v="0.48257884955752212"/>
    <s v="Excellent"/>
    <n v="0.25"/>
    <s v="Bali &amp; NTT"/>
    <s v="Citra W."/>
    <n v="10104193"/>
  </r>
  <r>
    <s v="2022-10-14"/>
    <x v="9"/>
    <x v="0"/>
    <s v="Hardware"/>
    <n v="4000000"/>
    <n v="1892711"/>
    <n v="2107289"/>
    <n v="0.52682225000000005"/>
    <s v="Excellent"/>
    <n v="0.25"/>
    <s v="Kalimantan"/>
    <s v="Eko F."/>
    <n v="3875781"/>
  </r>
  <r>
    <s v="2022-10-18"/>
    <x v="9"/>
    <x v="2"/>
    <s v="Software"/>
    <n v="9500000"/>
    <n v="3746146"/>
    <n v="5753854"/>
    <n v="0.60566884210526317"/>
    <s v="Excellent"/>
    <n v="0.35"/>
    <s v="Bali &amp; NTT"/>
    <s v="Budi R."/>
    <n v="9418928"/>
  </r>
  <r>
    <s v="2022-10-18"/>
    <x v="9"/>
    <x v="0"/>
    <s v="Aksesoris"/>
    <n v="13800000"/>
    <n v="6640532"/>
    <n v="7159468"/>
    <n v="0.5188020289855072"/>
    <s v="Excellent"/>
    <n v="0.25"/>
    <s v="Bali &amp; NTT"/>
    <s v="Hani M."/>
    <n v="13683166"/>
  </r>
  <r>
    <s v="2022-10-19"/>
    <x v="9"/>
    <x v="1"/>
    <s v="Training"/>
    <n v="7700000"/>
    <n v="4341853"/>
    <n v="3358147"/>
    <n v="0.43612298701298702"/>
    <s v="Excellent"/>
    <n v="0.4"/>
    <s v="Jawa"/>
    <s v="Gilang T."/>
    <n v="7166771"/>
  </r>
  <r>
    <s v="2022-10-19"/>
    <x v="9"/>
    <x v="0"/>
    <s v="Hardware"/>
    <n v="6400000"/>
    <n v="2592700"/>
    <n v="3807300"/>
    <n v="0.59489062500000001"/>
    <s v="Excellent"/>
    <n v="0.25"/>
    <s v="Kalimantan"/>
    <s v="Fani A."/>
    <n v="7051716"/>
  </r>
  <r>
    <s v="2022-10-19"/>
    <x v="9"/>
    <x v="0"/>
    <s v="Hardware"/>
    <n v="13700000"/>
    <n v="6800752"/>
    <n v="6899248"/>
    <n v="0.50359474452554742"/>
    <s v="Excellent"/>
    <n v="0.25"/>
    <s v="Sulawesi"/>
    <s v="Gilang T."/>
    <n v="17012201"/>
  </r>
  <r>
    <s v="2022-10-19"/>
    <x v="9"/>
    <x v="0"/>
    <s v="Hardware"/>
    <n v="10900000"/>
    <n v="5420897"/>
    <n v="5479103"/>
    <n v="0.50266999999999995"/>
    <s v="Excellent"/>
    <n v="0.25"/>
    <s v="Jawa"/>
    <s v="Hani M."/>
    <n v="13979717"/>
  </r>
  <r>
    <s v="2022-10-22"/>
    <x v="9"/>
    <x v="0"/>
    <s v="Bundle"/>
    <n v="2400000"/>
    <n v="930346"/>
    <n v="1469654"/>
    <n v="0.61235583333333332"/>
    <s v="Excellent"/>
    <n v="0.25"/>
    <s v="Kalimantan"/>
    <s v="Andi S."/>
    <n v="2909228"/>
  </r>
  <r>
    <s v="2022-10-22"/>
    <x v="9"/>
    <x v="0"/>
    <s v="Bundle"/>
    <n v="7500000"/>
    <n v="3547562"/>
    <n v="3952438"/>
    <n v="0.52699173333333338"/>
    <s v="Excellent"/>
    <n v="0.25"/>
    <s v="Sulawesi"/>
    <s v="Citra W."/>
    <n v="6748104"/>
  </r>
  <r>
    <s v="2022-10-23"/>
    <x v="9"/>
    <x v="1"/>
    <s v="Training"/>
    <n v="11300000"/>
    <n v="6483154"/>
    <n v="4816846"/>
    <n v="0.42626955752212392"/>
    <s v="Excellent"/>
    <n v="0.4"/>
    <s v="Sumatera"/>
    <s v="Budi R."/>
    <n v="10374785"/>
  </r>
  <r>
    <s v="2022-10-24"/>
    <x v="9"/>
    <x v="0"/>
    <s v="Bundle"/>
    <n v="5100000"/>
    <n v="2977076"/>
    <n v="2122924"/>
    <n v="0.41625960784313726"/>
    <s v="Excellent"/>
    <n v="0.25"/>
    <s v="Sulawesi"/>
    <s v="Eko F."/>
    <n v="5902364"/>
  </r>
  <r>
    <s v="2022-10-25"/>
    <x v="9"/>
    <x v="1"/>
    <s v="Support"/>
    <n v="14000000"/>
    <n v="6668257"/>
    <n v="7331743"/>
    <n v="0.52369592857142855"/>
    <s v="Excellent"/>
    <n v="0.4"/>
    <s v="Sumatera"/>
    <s v="Budi R."/>
    <n v="17626360"/>
  </r>
  <r>
    <s v="2022-10-26"/>
    <x v="9"/>
    <x v="2"/>
    <s v="API Services"/>
    <n v="3100000"/>
    <n v="1153644"/>
    <n v="1946356"/>
    <n v="0.62785677419354835"/>
    <s v="Excellent"/>
    <n v="0.35"/>
    <s v="Bali &amp; NTT"/>
    <s v="Fani A."/>
    <n v="3614226"/>
  </r>
  <r>
    <s v="2022-10-26"/>
    <x v="9"/>
    <x v="2"/>
    <s v="Subscription"/>
    <n v="17900000"/>
    <n v="7072364"/>
    <n v="10827636"/>
    <n v="0.60489586592178768"/>
    <s v="Excellent"/>
    <n v="0.35"/>
    <s v="Jawa"/>
    <s v="Hani M."/>
    <n v="18960475"/>
  </r>
  <r>
    <s v="2022-10-27"/>
    <x v="9"/>
    <x v="0"/>
    <s v="Hardware"/>
    <n v="2600000"/>
    <n v="1264753"/>
    <n v="1335247"/>
    <n v="0.51355653846153848"/>
    <s v="Excellent"/>
    <n v="0.25"/>
    <s v="Bali &amp; NTT"/>
    <s v="Hani M."/>
    <n v="2272326"/>
  </r>
  <r>
    <s v="2022-10-30"/>
    <x v="9"/>
    <x v="1"/>
    <s v="Konsultasi"/>
    <n v="19300000"/>
    <n v="11024023"/>
    <n v="8275977"/>
    <n v="0.42880709844559584"/>
    <s v="Excellent"/>
    <n v="0.4"/>
    <s v="Bali &amp; NTT"/>
    <s v="Eko F."/>
    <n v="20491796"/>
  </r>
  <r>
    <s v="2022-10-30"/>
    <x v="9"/>
    <x v="2"/>
    <s v="Software"/>
    <n v="5200000"/>
    <n v="2895953"/>
    <n v="2304047"/>
    <n v="0.44308596153846153"/>
    <s v="Excellent"/>
    <n v="0.35"/>
    <s v="Jawa"/>
    <s v="Eko F."/>
    <n v="5929251"/>
  </r>
  <r>
    <s v="2022-11-07"/>
    <x v="10"/>
    <x v="0"/>
    <s v="Aksesoris"/>
    <n v="19100000"/>
    <n v="9397729"/>
    <n v="9702271"/>
    <n v="0.50797230366492152"/>
    <s v="Excellent"/>
    <n v="0.25"/>
    <s v="Jawa"/>
    <s v="Fani A."/>
    <n v="16803102"/>
  </r>
  <r>
    <s v="2022-11-07"/>
    <x v="10"/>
    <x v="2"/>
    <s v="Subscription"/>
    <n v="6700000"/>
    <n v="3786481"/>
    <n v="2913519"/>
    <n v="0.43485358208955222"/>
    <s v="Excellent"/>
    <n v="0.35"/>
    <s v="Sumatera"/>
    <s v="Hani M."/>
    <n v="8044104"/>
  </r>
  <r>
    <s v="2022-11-07"/>
    <x v="10"/>
    <x v="2"/>
    <s v="Software"/>
    <n v="5400000"/>
    <n v="2454807"/>
    <n v="2945193"/>
    <n v="0.54540611111111115"/>
    <s v="Excellent"/>
    <n v="0.35"/>
    <s v="Sumatera"/>
    <s v="Gilang T."/>
    <n v="4842893"/>
  </r>
  <r>
    <s v="2022-11-08"/>
    <x v="10"/>
    <x v="1"/>
    <s v="Konsultasi"/>
    <n v="14000000"/>
    <n v="8348014"/>
    <n v="5651986"/>
    <n v="0.40371328571428572"/>
    <s v="Excellent"/>
    <n v="0.4"/>
    <s v="Kalimantan"/>
    <s v="Eko F."/>
    <n v="16661702"/>
  </r>
  <r>
    <s v="2022-11-10"/>
    <x v="10"/>
    <x v="2"/>
    <s v="API Services"/>
    <n v="2800000"/>
    <n v="1427616"/>
    <n v="1372384"/>
    <n v="0.49013714285714288"/>
    <s v="Excellent"/>
    <n v="0.35"/>
    <s v="Sulawesi"/>
    <s v="Citra W."/>
    <n v="2678094"/>
  </r>
  <r>
    <s v="2022-11-12"/>
    <x v="10"/>
    <x v="2"/>
    <s v="Subscription"/>
    <n v="13000000"/>
    <n v="7565465"/>
    <n v="5434535"/>
    <n v="0.41804115384615387"/>
    <s v="Excellent"/>
    <n v="0.35"/>
    <s v="Sumatera"/>
    <s v="Gilang T."/>
    <n v="12976240"/>
  </r>
  <r>
    <s v="2022-11-14"/>
    <x v="10"/>
    <x v="2"/>
    <s v="API Services"/>
    <n v="10100000"/>
    <n v="5377239"/>
    <n v="4722761"/>
    <n v="0.46760009900990102"/>
    <s v="Excellent"/>
    <n v="0.35"/>
    <s v="Jawa"/>
    <s v="Hani M."/>
    <n v="10870343"/>
  </r>
  <r>
    <s v="2022-11-16"/>
    <x v="10"/>
    <x v="2"/>
    <s v="API Services"/>
    <n v="2200000"/>
    <n v="897498"/>
    <n v="1302502"/>
    <n v="0.59204636363636365"/>
    <s v="Excellent"/>
    <n v="0.35"/>
    <s v="Jawa"/>
    <s v="Citra W."/>
    <n v="1861498"/>
  </r>
  <r>
    <s v="2022-11-17"/>
    <x v="10"/>
    <x v="1"/>
    <s v="Support"/>
    <n v="5300000"/>
    <n v="2157247"/>
    <n v="3142753"/>
    <n v="0.5929722641509434"/>
    <s v="Excellent"/>
    <n v="0.4"/>
    <s v="Kalimantan"/>
    <s v="Gilang T."/>
    <n v="4691965"/>
  </r>
  <r>
    <s v="2022-11-18"/>
    <x v="10"/>
    <x v="0"/>
    <s v="Aksesoris"/>
    <n v="1500000"/>
    <n v="715178"/>
    <n v="784822"/>
    <n v="0.52321466666666672"/>
    <s v="Excellent"/>
    <n v="0.25"/>
    <s v="Jawa"/>
    <s v="Andi S."/>
    <n v="1550484"/>
  </r>
  <r>
    <s v="2022-11-22"/>
    <x v="10"/>
    <x v="1"/>
    <s v="Konsultasi"/>
    <n v="5400000"/>
    <n v="2830969"/>
    <n v="2569031"/>
    <n v="0.47574648148148146"/>
    <s v="Excellent"/>
    <n v="0.4"/>
    <s v="Bali &amp; NTT"/>
    <s v="Gilang T."/>
    <n v="5058720"/>
  </r>
  <r>
    <s v="2022-11-23"/>
    <x v="10"/>
    <x v="2"/>
    <s v="Software"/>
    <n v="17100000"/>
    <n v="7005886"/>
    <n v="10094114"/>
    <n v="0.59029906432748536"/>
    <s v="Excellent"/>
    <n v="0.35"/>
    <s v="Sulawesi"/>
    <s v="Gilang T."/>
    <n v="16301738"/>
  </r>
  <r>
    <s v="2022-11-23"/>
    <x v="10"/>
    <x v="0"/>
    <s v="Aksesoris"/>
    <n v="19500000"/>
    <n v="10778456"/>
    <n v="8721544"/>
    <n v="0.44725866666666669"/>
    <s v="Excellent"/>
    <n v="0.25"/>
    <s v="Kalimantan"/>
    <s v="Hani M."/>
    <n v="19211823"/>
  </r>
  <r>
    <s v="2022-11-24"/>
    <x v="10"/>
    <x v="1"/>
    <s v="Training"/>
    <n v="7300000"/>
    <n v="3317622"/>
    <n v="3982378"/>
    <n v="0.54553123287671235"/>
    <s v="Excellent"/>
    <n v="0.4"/>
    <s v="Sulawesi"/>
    <s v="Hani M."/>
    <n v="7625226"/>
  </r>
  <r>
    <s v="2022-11-25"/>
    <x v="10"/>
    <x v="1"/>
    <s v="Support"/>
    <n v="9300000"/>
    <n v="4201278"/>
    <n v="5098722"/>
    <n v="0.54824967741935482"/>
    <s v="Excellent"/>
    <n v="0.4"/>
    <s v="Kalimantan"/>
    <s v="Hani M."/>
    <n v="10137984"/>
  </r>
  <r>
    <s v="2022-11-26"/>
    <x v="10"/>
    <x v="1"/>
    <s v="Training"/>
    <n v="16100000"/>
    <n v="7199954"/>
    <n v="8900046"/>
    <n v="0.55279788819875775"/>
    <s v="Excellent"/>
    <n v="0.4"/>
    <s v="Kalimantan"/>
    <s v="Andi S."/>
    <n v="16885797"/>
  </r>
  <r>
    <s v="2022-11-26"/>
    <x v="10"/>
    <x v="2"/>
    <s v="Subscription"/>
    <n v="10900000"/>
    <n v="5923208"/>
    <n v="4976792"/>
    <n v="0.45658642201834865"/>
    <s v="Excellent"/>
    <n v="0.35"/>
    <s v="Bali &amp; NTT"/>
    <s v="Dian P."/>
    <n v="13422796"/>
  </r>
  <r>
    <s v="2022-11-27"/>
    <x v="10"/>
    <x v="0"/>
    <s v="Bundle"/>
    <n v="17600000"/>
    <n v="7901558"/>
    <n v="9698442"/>
    <n v="0.55104784090909087"/>
    <s v="Excellent"/>
    <n v="0.25"/>
    <s v="Kalimantan"/>
    <s v="Hani M."/>
    <n v="18570173"/>
  </r>
  <r>
    <s v="2022-11-27"/>
    <x v="10"/>
    <x v="2"/>
    <s v="API Services"/>
    <n v="16800000"/>
    <n v="8340530"/>
    <n v="8459470"/>
    <n v="0.503539880952381"/>
    <s v="Excellent"/>
    <n v="0.35"/>
    <s v="Sumatera"/>
    <s v="Hani M."/>
    <n v="14134113"/>
  </r>
  <r>
    <s v="2022-11-28"/>
    <x v="10"/>
    <x v="2"/>
    <s v="Subscription"/>
    <n v="1500000"/>
    <n v="617213"/>
    <n v="882787"/>
    <n v="0.5885246666666667"/>
    <s v="Excellent"/>
    <n v="0.35"/>
    <s v="Kalimantan"/>
    <s v="Andi S."/>
    <n v="1316258"/>
  </r>
  <r>
    <s v="2022-11-28"/>
    <x v="10"/>
    <x v="2"/>
    <s v="API Services"/>
    <n v="5300000"/>
    <n v="2316780"/>
    <n v="2983220"/>
    <n v="0.56287169811320759"/>
    <s v="Excellent"/>
    <n v="0.35"/>
    <s v="Kalimantan"/>
    <s v="Gilang T."/>
    <n v="5051821"/>
  </r>
  <r>
    <s v="2022-11-30"/>
    <x v="10"/>
    <x v="1"/>
    <s v="Support"/>
    <n v="15900000"/>
    <n v="9173743"/>
    <n v="6726257"/>
    <n v="0.42303503144654087"/>
    <s v="Excellent"/>
    <n v="0.4"/>
    <s v="Bali &amp; NTT"/>
    <s v="Citra W."/>
    <n v="17889007"/>
  </r>
  <r>
    <s v="2022-12-01"/>
    <x v="11"/>
    <x v="0"/>
    <s v="Aksesoris"/>
    <n v="1200000"/>
    <n v="660011"/>
    <n v="539989"/>
    <n v="0.44999083333333334"/>
    <s v="Excellent"/>
    <n v="0.25"/>
    <s v="Kalimantan"/>
    <s v="Budi R."/>
    <n v="1300847"/>
  </r>
  <r>
    <s v="2022-12-03"/>
    <x v="11"/>
    <x v="1"/>
    <s v="Konsultasi"/>
    <n v="12700000"/>
    <n v="4510693"/>
    <n v="8189307"/>
    <n v="0.64482732283464572"/>
    <s v="Excellent"/>
    <n v="0.4"/>
    <s v="Kalimantan"/>
    <s v="Citra W."/>
    <n v="10984721"/>
  </r>
  <r>
    <s v="2022-12-07"/>
    <x v="11"/>
    <x v="1"/>
    <s v="Konsultasi"/>
    <n v="5000000"/>
    <n v="1805023"/>
    <n v="3194977"/>
    <n v="0.63899539999999999"/>
    <s v="Excellent"/>
    <n v="0.4"/>
    <s v="Sumatera"/>
    <s v="Citra W."/>
    <n v="5226270"/>
  </r>
  <r>
    <s v="2022-12-07"/>
    <x v="11"/>
    <x v="2"/>
    <s v="Software"/>
    <n v="600000"/>
    <n v="342373"/>
    <n v="257627"/>
    <n v="0.42937833333333331"/>
    <s v="Excellent"/>
    <n v="0.35"/>
    <s v="Kalimantan"/>
    <s v="Fani A."/>
    <n v="492862"/>
  </r>
  <r>
    <s v="2022-12-09"/>
    <x v="11"/>
    <x v="2"/>
    <s v="Subscription"/>
    <n v="7100000"/>
    <n v="3181922"/>
    <n v="3918078"/>
    <n v="0.55184197183098593"/>
    <s v="Excellent"/>
    <n v="0.35"/>
    <s v="Sulawesi"/>
    <s v="Andi S."/>
    <n v="7989142"/>
  </r>
  <r>
    <s v="2022-12-09"/>
    <x v="11"/>
    <x v="2"/>
    <s v="Software"/>
    <n v="17100000"/>
    <n v="9910147"/>
    <n v="7189853"/>
    <n v="0.42045923976608185"/>
    <s v="Excellent"/>
    <n v="0.35"/>
    <s v="Jawa"/>
    <s v="Andi S."/>
    <n v="19670963"/>
  </r>
  <r>
    <s v="2022-12-12"/>
    <x v="11"/>
    <x v="2"/>
    <s v="Subscription"/>
    <n v="9200000"/>
    <n v="5076073"/>
    <n v="4123927"/>
    <n v="0.44825293478260869"/>
    <s v="Excellent"/>
    <n v="0.35"/>
    <s v="Bali &amp; NTT"/>
    <s v="Hani M."/>
    <n v="9601833"/>
  </r>
  <r>
    <s v="2022-12-12"/>
    <x v="11"/>
    <x v="2"/>
    <s v="Subscription"/>
    <n v="19600000"/>
    <n v="11735973"/>
    <n v="7864027"/>
    <n v="0.40122586734693877"/>
    <s v="Excellent"/>
    <n v="0.35"/>
    <s v="Jawa"/>
    <s v="Fani A."/>
    <n v="22115595"/>
  </r>
  <r>
    <s v="2022-12-14"/>
    <x v="11"/>
    <x v="2"/>
    <s v="Subscription"/>
    <n v="2200000"/>
    <n v="867479"/>
    <n v="1332521"/>
    <n v="0.60569136363636367"/>
    <s v="Excellent"/>
    <n v="0.35"/>
    <s v="Sulawesi"/>
    <s v="Citra W."/>
    <n v="2446434"/>
  </r>
  <r>
    <s v="2022-12-15"/>
    <x v="11"/>
    <x v="2"/>
    <s v="API Services"/>
    <n v="3500000"/>
    <n v="1306821"/>
    <n v="2193179"/>
    <n v="0.62662257142857147"/>
    <s v="Excellent"/>
    <n v="0.35"/>
    <s v="Bali &amp; NTT"/>
    <s v="Dian P."/>
    <n v="3238054"/>
  </r>
  <r>
    <s v="2022-12-16"/>
    <x v="11"/>
    <x v="0"/>
    <s v="Hardware"/>
    <n v="9400000"/>
    <n v="4375783"/>
    <n v="5024217"/>
    <n v="0.53449117021276593"/>
    <s v="Excellent"/>
    <n v="0.25"/>
    <s v="Jawa"/>
    <s v="Gilang T."/>
    <n v="11757345"/>
  </r>
  <r>
    <s v="2022-12-17"/>
    <x v="11"/>
    <x v="0"/>
    <s v="Aksesoris"/>
    <n v="4500000"/>
    <n v="2506238"/>
    <n v="1993762"/>
    <n v="0.44305822222222224"/>
    <s v="Excellent"/>
    <n v="0.25"/>
    <s v="Jawa"/>
    <s v="Dian P."/>
    <n v="5140009"/>
  </r>
  <r>
    <s v="2022-12-18"/>
    <x v="11"/>
    <x v="2"/>
    <s v="Software"/>
    <n v="8400000"/>
    <n v="3685829"/>
    <n v="4714171"/>
    <n v="0.56121083333333333"/>
    <s v="Excellent"/>
    <n v="0.35"/>
    <s v="Kalimantan"/>
    <s v="Hani M."/>
    <n v="9690504"/>
  </r>
  <r>
    <s v="2022-12-18"/>
    <x v="11"/>
    <x v="0"/>
    <s v="Aksesoris"/>
    <n v="5800000"/>
    <n v="2470490"/>
    <n v="3329510"/>
    <n v="0.57405344827586202"/>
    <s v="Excellent"/>
    <n v="0.25"/>
    <s v="Sulawesi"/>
    <s v="Andi S."/>
    <n v="6435847"/>
  </r>
  <r>
    <s v="2022-12-19"/>
    <x v="11"/>
    <x v="2"/>
    <s v="Subscription"/>
    <n v="15600000"/>
    <n v="7065017"/>
    <n v="8534983"/>
    <n v="0.54711429487179486"/>
    <s v="Excellent"/>
    <n v="0.35"/>
    <s v="Kalimantan"/>
    <s v="Dian P."/>
    <n v="16990987"/>
  </r>
  <r>
    <s v="2022-12-22"/>
    <x v="11"/>
    <x v="0"/>
    <s v="Hardware"/>
    <n v="17700000"/>
    <n v="9521092"/>
    <n v="8178908"/>
    <n v="0.46208519774011297"/>
    <s v="Excellent"/>
    <n v="0.25"/>
    <s v="Bali &amp; NTT"/>
    <s v="Gilang T."/>
    <n v="18536419"/>
  </r>
  <r>
    <s v="2022-12-27"/>
    <x v="11"/>
    <x v="0"/>
    <s v="Hardware"/>
    <n v="8400000"/>
    <n v="4876169"/>
    <n v="3523831"/>
    <n v="0.41950369047619046"/>
    <s v="Excellent"/>
    <n v="0.25"/>
    <s v="Jawa"/>
    <s v="Citra W."/>
    <n v="7416970"/>
  </r>
  <r>
    <s v="2022-12-28"/>
    <x v="11"/>
    <x v="2"/>
    <s v="Subscription"/>
    <n v="5300000"/>
    <n v="2577528"/>
    <n v="2722472"/>
    <n v="0.51367396226415096"/>
    <s v="Excellent"/>
    <n v="0.35"/>
    <s v="Jawa"/>
    <s v="Budi R."/>
    <n v="4903231"/>
  </r>
  <r>
    <s v="2022-12-28"/>
    <x v="11"/>
    <x v="1"/>
    <s v="Training"/>
    <n v="5200000"/>
    <n v="2649791"/>
    <n v="2550209"/>
    <n v="0.49042480769230767"/>
    <s v="Excellent"/>
    <n v="0.4"/>
    <s v="Sumatera"/>
    <s v="Eko F."/>
    <n v="5808267"/>
  </r>
  <r>
    <s v="2022-12-28"/>
    <x v="11"/>
    <x v="1"/>
    <s v="Konsultasi"/>
    <n v="13900000"/>
    <n v="5700903"/>
    <n v="8199097"/>
    <n v="0.58986309352517985"/>
    <s v="Excellent"/>
    <n v="0.4"/>
    <s v="Sulawesi"/>
    <s v="Andi S."/>
    <n v="12080643"/>
  </r>
  <r>
    <s v="2022-12-30"/>
    <x v="11"/>
    <x v="1"/>
    <s v="Support"/>
    <n v="12700000"/>
    <n v="4573665"/>
    <n v="8126335"/>
    <n v="0.63986889763779531"/>
    <s v="Excellent"/>
    <n v="0.4"/>
    <s v="Sulawesi"/>
    <s v="Budi R."/>
    <n v="16391619"/>
  </r>
  <r>
    <s v="2023-01-01"/>
    <x v="12"/>
    <x v="0"/>
    <s v="Hardware"/>
    <n v="14100000"/>
    <n v="6110337"/>
    <n v="7989663"/>
    <n v="0.56664276595744678"/>
    <s v="Excellent"/>
    <n v="0.25"/>
    <s v="Bali &amp; NTT"/>
    <s v="Andi S."/>
    <n v="12884422"/>
  </r>
  <r>
    <s v="2023-01-04"/>
    <x v="12"/>
    <x v="0"/>
    <s v="Aksesoris"/>
    <n v="2500000"/>
    <n v="1132901"/>
    <n v="1367099"/>
    <n v="0.54683959999999998"/>
    <s v="Excellent"/>
    <n v="0.25"/>
    <s v="Sulawesi"/>
    <s v="Gilang T."/>
    <n v="2938563"/>
  </r>
  <r>
    <s v="2023-01-04"/>
    <x v="12"/>
    <x v="0"/>
    <s v="Hardware"/>
    <n v="15900000"/>
    <n v="6571471"/>
    <n v="9328529"/>
    <n v="0.58669993710691826"/>
    <s v="Excellent"/>
    <n v="0.25"/>
    <s v="Kalimantan"/>
    <s v="Hani M."/>
    <n v="13814249"/>
  </r>
  <r>
    <s v="2023-01-04"/>
    <x v="12"/>
    <x v="0"/>
    <s v="Aksesoris"/>
    <n v="13100000"/>
    <n v="5058710"/>
    <n v="8041290"/>
    <n v="0.61383893129770994"/>
    <s v="Excellent"/>
    <n v="0.25"/>
    <s v="Jawa"/>
    <s v="Gilang T."/>
    <n v="11295929"/>
  </r>
  <r>
    <s v="2023-01-06"/>
    <x v="12"/>
    <x v="2"/>
    <s v="Subscription"/>
    <n v="8400000"/>
    <n v="5035558"/>
    <n v="3364442"/>
    <n v="0.40052880952380954"/>
    <s v="Excellent"/>
    <n v="0.35"/>
    <s v="Jawa"/>
    <s v="Budi R."/>
    <n v="9624541"/>
  </r>
  <r>
    <s v="2023-01-08"/>
    <x v="12"/>
    <x v="0"/>
    <s v="Aksesoris"/>
    <n v="17500000"/>
    <n v="7870113"/>
    <n v="9629887"/>
    <n v="0.55027925714285719"/>
    <s v="Excellent"/>
    <n v="0.25"/>
    <s v="Sumatera"/>
    <s v="Dian P."/>
    <n v="20328942"/>
  </r>
  <r>
    <s v="2023-01-11"/>
    <x v="12"/>
    <x v="1"/>
    <s v="Training"/>
    <n v="10900000"/>
    <n v="5742339"/>
    <n v="5157661"/>
    <n v="0.47317990825688072"/>
    <s v="Excellent"/>
    <n v="0.4"/>
    <s v="Kalimantan"/>
    <s v="Eko F."/>
    <n v="9441253"/>
  </r>
  <r>
    <s v="2023-01-11"/>
    <x v="12"/>
    <x v="1"/>
    <s v="Konsultasi"/>
    <n v="9100000"/>
    <n v="3725650"/>
    <n v="5374350"/>
    <n v="0.59058791208791206"/>
    <s v="Excellent"/>
    <n v="0.4"/>
    <s v="Sulawesi"/>
    <s v="Gilang T."/>
    <n v="11536945"/>
  </r>
  <r>
    <s v="2023-01-13"/>
    <x v="12"/>
    <x v="2"/>
    <s v="Subscription"/>
    <n v="18900000"/>
    <n v="8387012"/>
    <n v="10512988"/>
    <n v="0.55624275132275136"/>
    <s v="Excellent"/>
    <n v="0.35"/>
    <s v="Sulawesi"/>
    <s v="Fani A."/>
    <n v="15360646"/>
  </r>
  <r>
    <s v="2023-01-13"/>
    <x v="12"/>
    <x v="2"/>
    <s v="API Services"/>
    <n v="18300000"/>
    <n v="8696936"/>
    <n v="9603064"/>
    <n v="0.52475759562841529"/>
    <s v="Excellent"/>
    <n v="0.35"/>
    <s v="Kalimantan"/>
    <s v="Fani A."/>
    <n v="16272859"/>
  </r>
  <r>
    <s v="2023-01-13"/>
    <x v="12"/>
    <x v="0"/>
    <s v="Hardware"/>
    <n v="2200000"/>
    <n v="1059205"/>
    <n v="1140795"/>
    <n v="0.51854318181818182"/>
    <s v="Excellent"/>
    <n v="0.25"/>
    <s v="Sumatera"/>
    <s v="Budi R."/>
    <n v="2645923"/>
  </r>
  <r>
    <s v="2023-01-15"/>
    <x v="12"/>
    <x v="0"/>
    <s v="Bundle"/>
    <n v="17800000"/>
    <n v="9693792"/>
    <n v="8106208"/>
    <n v="0.45540494382022473"/>
    <s v="Excellent"/>
    <n v="0.25"/>
    <s v="Kalimantan"/>
    <s v="Gilang T."/>
    <n v="17337485"/>
  </r>
  <r>
    <s v="2023-01-16"/>
    <x v="12"/>
    <x v="2"/>
    <s v="API Services"/>
    <n v="800000"/>
    <n v="302550"/>
    <n v="497450"/>
    <n v="0.62181249999999999"/>
    <s v="Excellent"/>
    <n v="0.35"/>
    <s v="Bali &amp; NTT"/>
    <s v="Andi S."/>
    <n v="906364"/>
  </r>
  <r>
    <s v="2023-01-18"/>
    <x v="12"/>
    <x v="2"/>
    <s v="Software"/>
    <n v="15100000"/>
    <n v="8310500"/>
    <n v="6789500"/>
    <n v="0.44963576158940399"/>
    <s v="Excellent"/>
    <n v="0.35"/>
    <s v="Jawa"/>
    <s v="Andi S."/>
    <n v="17960518"/>
  </r>
  <r>
    <s v="2023-01-22"/>
    <x v="12"/>
    <x v="0"/>
    <s v="Bundle"/>
    <n v="18700000"/>
    <n v="8601352"/>
    <n v="10098648"/>
    <n v="0.54003465240641713"/>
    <s v="Excellent"/>
    <n v="0.25"/>
    <s v="Kalimantan"/>
    <s v="Citra W."/>
    <n v="21715781"/>
  </r>
  <r>
    <s v="2023-01-24"/>
    <x v="12"/>
    <x v="1"/>
    <s v="Training"/>
    <n v="1100000"/>
    <n v="573785"/>
    <n v="526215"/>
    <n v="0.47837727272727271"/>
    <s v="Excellent"/>
    <n v="0.4"/>
    <s v="Jawa"/>
    <s v="Hani M."/>
    <n v="1189820"/>
  </r>
  <r>
    <s v="2023-01-25"/>
    <x v="12"/>
    <x v="2"/>
    <s v="Subscription"/>
    <n v="13400000"/>
    <n v="4903225"/>
    <n v="8496775"/>
    <n v="0.63408768656716419"/>
    <s v="Excellent"/>
    <n v="0.35"/>
    <s v="Sumatera"/>
    <s v="Fani A."/>
    <n v="11952553"/>
  </r>
  <r>
    <s v="2023-01-25"/>
    <x v="12"/>
    <x v="2"/>
    <s v="Subscription"/>
    <n v="19900000"/>
    <n v="11471730"/>
    <n v="8428270"/>
    <n v="0.4235311557788945"/>
    <s v="Excellent"/>
    <n v="0.35"/>
    <s v="Bali &amp; NTT"/>
    <s v="Budi R."/>
    <n v="20644974"/>
  </r>
  <r>
    <s v="2023-01-25"/>
    <x v="12"/>
    <x v="0"/>
    <s v="Hardware"/>
    <n v="14200000"/>
    <n v="5017602"/>
    <n v="9182398"/>
    <n v="0.64664774647887324"/>
    <s v="Excellent"/>
    <n v="0.25"/>
    <s v="Kalimantan"/>
    <s v="Budi R."/>
    <n v="12629747"/>
  </r>
  <r>
    <s v="2023-01-26"/>
    <x v="12"/>
    <x v="0"/>
    <s v="Hardware"/>
    <n v="19900000"/>
    <n v="8102186"/>
    <n v="11797814"/>
    <n v="0.59285497487437189"/>
    <s v="Excellent"/>
    <n v="0.25"/>
    <s v="Sumatera"/>
    <s v="Budi R."/>
    <n v="22955690"/>
  </r>
  <r>
    <s v="2023-01-27"/>
    <x v="12"/>
    <x v="2"/>
    <s v="Subscription"/>
    <n v="18600000"/>
    <n v="8767298"/>
    <n v="9832702"/>
    <n v="0.52863989247311827"/>
    <s v="Excellent"/>
    <n v="0.35"/>
    <s v="Sulawesi"/>
    <s v="Fani A."/>
    <n v="18014111"/>
  </r>
  <r>
    <s v="2023-01-27"/>
    <x v="12"/>
    <x v="1"/>
    <s v="Support"/>
    <n v="19600000"/>
    <n v="8293818"/>
    <n v="11306182"/>
    <n v="0.57684602040816324"/>
    <s v="Excellent"/>
    <n v="0.4"/>
    <s v="Sulawesi"/>
    <s v="Budi R."/>
    <n v="19706694"/>
  </r>
  <r>
    <s v="2023-01-31"/>
    <x v="12"/>
    <x v="1"/>
    <s v="Training"/>
    <n v="900000"/>
    <n v="452223"/>
    <n v="447777"/>
    <n v="0.49752999999999997"/>
    <s v="Excellent"/>
    <n v="0.4"/>
    <s v="Kalimantan"/>
    <s v="Eko F."/>
    <n v="1060194"/>
  </r>
  <r>
    <s v="2023-02-01"/>
    <x v="13"/>
    <x v="1"/>
    <s v="Konsultasi"/>
    <n v="6200000"/>
    <n v="3351373"/>
    <n v="2848627"/>
    <n v="0.45945596774193548"/>
    <s v="Excellent"/>
    <n v="0.4"/>
    <s v="Bali &amp; NTT"/>
    <s v="Budi R."/>
    <n v="5069105"/>
  </r>
  <r>
    <s v="2023-02-04"/>
    <x v="13"/>
    <x v="1"/>
    <s v="Training"/>
    <n v="12600000"/>
    <n v="5884213"/>
    <n v="6715787"/>
    <n v="0.53299896825396831"/>
    <s v="Excellent"/>
    <n v="0.4"/>
    <s v="Kalimantan"/>
    <s v="Andi S."/>
    <n v="10937555"/>
  </r>
  <r>
    <s v="2023-02-04"/>
    <x v="13"/>
    <x v="0"/>
    <s v="Hardware"/>
    <n v="12700000"/>
    <n v="5145295"/>
    <n v="7554705"/>
    <n v="0.5948586614173228"/>
    <s v="Excellent"/>
    <n v="0.25"/>
    <s v="Jawa"/>
    <s v="Dian P."/>
    <n v="15905521"/>
  </r>
  <r>
    <s v="2023-02-05"/>
    <x v="13"/>
    <x v="2"/>
    <s v="Software"/>
    <n v="18700000"/>
    <n v="10953202"/>
    <n v="7746798"/>
    <n v="0.41426727272727271"/>
    <s v="Excellent"/>
    <n v="0.35"/>
    <s v="Sulawesi"/>
    <s v="Gilang T."/>
    <n v="23238822"/>
  </r>
  <r>
    <s v="2023-02-05"/>
    <x v="13"/>
    <x v="2"/>
    <s v="Software"/>
    <n v="14400000"/>
    <n v="8497708"/>
    <n v="5902292"/>
    <n v="0.40988138888888886"/>
    <s v="Excellent"/>
    <n v="0.35"/>
    <s v="Jawa"/>
    <s v="Fani A."/>
    <n v="18171152"/>
  </r>
  <r>
    <s v="2023-02-07"/>
    <x v="13"/>
    <x v="1"/>
    <s v="Support"/>
    <n v="9800000"/>
    <n v="3466338"/>
    <n v="6333662"/>
    <n v="0.64629204081632652"/>
    <s v="Excellent"/>
    <n v="0.4"/>
    <s v="Sulawesi"/>
    <s v="Budi R."/>
    <n v="9481749"/>
  </r>
  <r>
    <s v="2023-02-09"/>
    <x v="13"/>
    <x v="0"/>
    <s v="Hardware"/>
    <n v="14000000"/>
    <n v="5702272"/>
    <n v="8297728"/>
    <n v="0.59269485714285719"/>
    <s v="Excellent"/>
    <n v="0.25"/>
    <s v="Sulawesi"/>
    <s v="Dian P."/>
    <n v="12752606"/>
  </r>
  <r>
    <s v="2023-02-09"/>
    <x v="13"/>
    <x v="1"/>
    <s v="Support"/>
    <n v="18700000"/>
    <n v="9993337"/>
    <n v="8706663"/>
    <n v="0.46559695187165773"/>
    <s v="Excellent"/>
    <n v="0.4"/>
    <s v="Bali &amp; NTT"/>
    <s v="Citra W."/>
    <n v="16224289"/>
  </r>
  <r>
    <s v="2023-02-10"/>
    <x v="13"/>
    <x v="2"/>
    <s v="Subscription"/>
    <n v="16100000"/>
    <n v="9000195"/>
    <n v="7099805"/>
    <n v="0.44098167701863356"/>
    <s v="Excellent"/>
    <n v="0.35"/>
    <s v="Kalimantan"/>
    <s v="Fani A."/>
    <n v="13157998"/>
  </r>
  <r>
    <s v="2023-02-11"/>
    <x v="13"/>
    <x v="0"/>
    <s v="Hardware"/>
    <n v="15100000"/>
    <n v="7099930"/>
    <n v="8000070"/>
    <n v="0.52980596026490068"/>
    <s v="Excellent"/>
    <n v="0.25"/>
    <s v="Sumatera"/>
    <s v="Gilang T."/>
    <n v="18555487"/>
  </r>
  <r>
    <s v="2023-02-11"/>
    <x v="13"/>
    <x v="2"/>
    <s v="Subscription"/>
    <n v="3100000"/>
    <n v="1739882"/>
    <n v="1360118"/>
    <n v="0.43874774193548388"/>
    <s v="Excellent"/>
    <n v="0.35"/>
    <s v="Kalimantan"/>
    <s v="Budi R."/>
    <n v="3621237"/>
  </r>
  <r>
    <s v="2023-02-11"/>
    <x v="13"/>
    <x v="2"/>
    <s v="Subscription"/>
    <n v="1700000"/>
    <n v="1002420"/>
    <n v="697580"/>
    <n v="0.41034117647058821"/>
    <s v="Excellent"/>
    <n v="0.35"/>
    <s v="Kalimantan"/>
    <s v="Gilang T."/>
    <n v="2042032"/>
  </r>
  <r>
    <s v="2023-02-12"/>
    <x v="13"/>
    <x v="0"/>
    <s v="Bundle"/>
    <n v="3200000"/>
    <n v="1862147"/>
    <n v="1337853"/>
    <n v="0.41807906249999999"/>
    <s v="Excellent"/>
    <n v="0.25"/>
    <s v="Sulawesi"/>
    <s v="Citra W."/>
    <n v="4008068"/>
  </r>
  <r>
    <s v="2023-02-13"/>
    <x v="13"/>
    <x v="1"/>
    <s v="Support"/>
    <n v="11500000"/>
    <n v="5948571"/>
    <n v="5551429"/>
    <n v="0.48273295652173914"/>
    <s v="Excellent"/>
    <n v="0.4"/>
    <s v="Bali &amp; NTT"/>
    <s v="Citra W."/>
    <n v="9347433"/>
  </r>
  <r>
    <s v="2023-02-13"/>
    <x v="13"/>
    <x v="0"/>
    <s v="Hardware"/>
    <n v="13000000"/>
    <n v="5076091"/>
    <n v="7923909"/>
    <n v="0.60953146153846149"/>
    <s v="Excellent"/>
    <n v="0.25"/>
    <s v="Bali &amp; NTT"/>
    <s v="Andi S."/>
    <n v="13755819"/>
  </r>
  <r>
    <s v="2023-02-14"/>
    <x v="13"/>
    <x v="0"/>
    <s v="Hardware"/>
    <n v="4400000"/>
    <n v="2280299"/>
    <n v="2119701"/>
    <n v="0.48175022727272726"/>
    <s v="Excellent"/>
    <n v="0.25"/>
    <s v="Sulawesi"/>
    <s v="Eko F."/>
    <n v="3831302"/>
  </r>
  <r>
    <s v="2023-02-15"/>
    <x v="13"/>
    <x v="0"/>
    <s v="Bundle"/>
    <n v="4200000"/>
    <n v="1571743"/>
    <n v="2628257"/>
    <n v="0.62577547619047624"/>
    <s v="Excellent"/>
    <n v="0.25"/>
    <s v="Kalimantan"/>
    <s v="Gilang T."/>
    <n v="3527200"/>
  </r>
  <r>
    <s v="2023-02-16"/>
    <x v="13"/>
    <x v="2"/>
    <s v="Software"/>
    <n v="8900000"/>
    <n v="4355229"/>
    <n v="4544771"/>
    <n v="0.51064842696629209"/>
    <s v="Excellent"/>
    <n v="0.35"/>
    <s v="Sulawesi"/>
    <s v="Gilang T."/>
    <n v="11182373"/>
  </r>
  <r>
    <s v="2023-02-16"/>
    <x v="13"/>
    <x v="2"/>
    <s v="Subscription"/>
    <n v="19800000"/>
    <n v="10594661"/>
    <n v="9205339"/>
    <n v="0.46491611111111109"/>
    <s v="Excellent"/>
    <n v="0.35"/>
    <s v="Jawa"/>
    <s v="Citra W."/>
    <n v="24716099"/>
  </r>
  <r>
    <s v="2023-02-17"/>
    <x v="13"/>
    <x v="1"/>
    <s v="Konsultasi"/>
    <n v="12100000"/>
    <n v="5681921"/>
    <n v="6418079"/>
    <n v="0.53041975206611569"/>
    <s v="Excellent"/>
    <n v="0.4"/>
    <s v="Sulawesi"/>
    <s v="Dian P."/>
    <n v="10049588"/>
  </r>
  <r>
    <s v="2023-02-18"/>
    <x v="13"/>
    <x v="2"/>
    <s v="Software"/>
    <n v="8500000"/>
    <n v="3725689"/>
    <n v="4774311"/>
    <n v="0.56168364705882357"/>
    <s v="Excellent"/>
    <n v="0.35"/>
    <s v="Kalimantan"/>
    <s v="Dian P."/>
    <n v="7965102"/>
  </r>
  <r>
    <s v="2023-02-18"/>
    <x v="13"/>
    <x v="2"/>
    <s v="Subscription"/>
    <n v="11200000"/>
    <n v="4180308"/>
    <n v="7019692"/>
    <n v="0.62675821428571432"/>
    <s v="Excellent"/>
    <n v="0.35"/>
    <s v="Jawa"/>
    <s v="Citra W."/>
    <n v="10826292"/>
  </r>
  <r>
    <s v="2023-02-18"/>
    <x v="13"/>
    <x v="2"/>
    <s v="Software"/>
    <n v="15000000"/>
    <n v="8839327"/>
    <n v="6160673"/>
    <n v="0.41071153333333332"/>
    <s v="Excellent"/>
    <n v="0.35"/>
    <s v="Kalimantan"/>
    <s v="Eko F."/>
    <n v="12803393"/>
  </r>
  <r>
    <s v="2023-02-19"/>
    <x v="13"/>
    <x v="2"/>
    <s v="API Services"/>
    <n v="8100000"/>
    <n v="4458389"/>
    <n v="3641611"/>
    <n v="0.4495816049382716"/>
    <s v="Excellent"/>
    <n v="0.35"/>
    <s v="Sumatera"/>
    <s v="Dian P."/>
    <n v="7523451"/>
  </r>
  <r>
    <s v="2023-02-19"/>
    <x v="13"/>
    <x v="1"/>
    <s v="Konsultasi"/>
    <n v="800000"/>
    <n v="353017"/>
    <n v="446983"/>
    <n v="0.55872875"/>
    <s v="Excellent"/>
    <n v="0.4"/>
    <s v="Bali &amp; NTT"/>
    <s v="Citra W."/>
    <n v="640900"/>
  </r>
  <r>
    <s v="2023-02-19"/>
    <x v="13"/>
    <x v="2"/>
    <s v="Subscription"/>
    <n v="2500000"/>
    <n v="1302793"/>
    <n v="1197207"/>
    <n v="0.4788828"/>
    <s v="Excellent"/>
    <n v="0.35"/>
    <s v="Sumatera"/>
    <s v="Fani A."/>
    <n v="3144996"/>
  </r>
  <r>
    <s v="2023-02-20"/>
    <x v="13"/>
    <x v="0"/>
    <s v="Hardware"/>
    <n v="11100000"/>
    <n v="5198058"/>
    <n v="5901942"/>
    <n v="0.53170648648648644"/>
    <s v="Excellent"/>
    <n v="0.25"/>
    <s v="Kalimantan"/>
    <s v="Budi R."/>
    <n v="9049805"/>
  </r>
  <r>
    <s v="2023-02-20"/>
    <x v="13"/>
    <x v="1"/>
    <s v="Konsultasi"/>
    <n v="7200000"/>
    <n v="2805852"/>
    <n v="4394148"/>
    <n v="0.61029833333333339"/>
    <s v="Excellent"/>
    <n v="0.4"/>
    <s v="Sumatera"/>
    <s v="Budi R."/>
    <n v="9142765"/>
  </r>
  <r>
    <s v="2023-02-20"/>
    <x v="13"/>
    <x v="1"/>
    <s v="Konsultasi"/>
    <n v="19600000"/>
    <n v="8099387"/>
    <n v="11500613"/>
    <n v="0.58676596938775505"/>
    <s v="Excellent"/>
    <n v="0.4"/>
    <s v="Sumatera"/>
    <s v="Budi R."/>
    <n v="16936272"/>
  </r>
  <r>
    <s v="2023-02-20"/>
    <x v="13"/>
    <x v="0"/>
    <s v="Aksesoris"/>
    <n v="14200000"/>
    <n v="6620282"/>
    <n v="7579718"/>
    <n v="0.53378295774647888"/>
    <s v="Excellent"/>
    <n v="0.25"/>
    <s v="Bali &amp; NTT"/>
    <s v="Budi R."/>
    <n v="12006275"/>
  </r>
  <r>
    <s v="2023-02-20"/>
    <x v="13"/>
    <x v="0"/>
    <s v="Bundle"/>
    <n v="16800000"/>
    <n v="7776189"/>
    <n v="9023811"/>
    <n v="0.53713160714285713"/>
    <s v="Excellent"/>
    <n v="0.25"/>
    <s v="Kalimantan"/>
    <s v="Budi R."/>
    <n v="16994788"/>
  </r>
  <r>
    <s v="2023-02-22"/>
    <x v="13"/>
    <x v="2"/>
    <s v="API Services"/>
    <n v="13800000"/>
    <n v="7849000"/>
    <n v="5951000"/>
    <n v="0.43123188405797103"/>
    <s v="Excellent"/>
    <n v="0.35"/>
    <s v="Sumatera"/>
    <s v="Hani M."/>
    <n v="15019166"/>
  </r>
  <r>
    <s v="2023-02-24"/>
    <x v="13"/>
    <x v="2"/>
    <s v="API Services"/>
    <n v="17600000"/>
    <n v="10307346"/>
    <n v="7292654"/>
    <n v="0.41435534090909093"/>
    <s v="Excellent"/>
    <n v="0.35"/>
    <s v="Bali &amp; NTT"/>
    <s v="Eko F."/>
    <n v="18938658"/>
  </r>
  <r>
    <s v="2023-02-26"/>
    <x v="13"/>
    <x v="0"/>
    <s v="Aksesoris"/>
    <n v="6700000"/>
    <n v="3798950"/>
    <n v="2901050"/>
    <n v="0.43299253731343285"/>
    <s v="Excellent"/>
    <n v="0.25"/>
    <s v="Sulawesi"/>
    <s v="Fani A."/>
    <n v="5797359"/>
  </r>
  <r>
    <s v="2023-02-26"/>
    <x v="13"/>
    <x v="2"/>
    <s v="Software"/>
    <n v="19200000"/>
    <n v="8770080"/>
    <n v="10429920"/>
    <n v="0.54322499999999996"/>
    <s v="Excellent"/>
    <n v="0.35"/>
    <s v="Bali &amp; NTT"/>
    <s v="Budi R."/>
    <n v="18498765"/>
  </r>
  <r>
    <s v="2023-02-27"/>
    <x v="13"/>
    <x v="1"/>
    <s v="Training"/>
    <n v="11200000"/>
    <n v="5506404"/>
    <n v="5693596"/>
    <n v="0.50835678571428566"/>
    <s v="Excellent"/>
    <n v="0.4"/>
    <s v="Sumatera"/>
    <s v="Citra W."/>
    <n v="10634873"/>
  </r>
  <r>
    <s v="2023-03-01"/>
    <x v="14"/>
    <x v="2"/>
    <s v="API Services"/>
    <n v="3700000"/>
    <n v="2069776"/>
    <n v="1630224"/>
    <n v="0.44060108108108109"/>
    <s v="Excellent"/>
    <n v="0.35"/>
    <s v="Jawa"/>
    <s v="Dian P."/>
    <n v="3929159"/>
  </r>
  <r>
    <s v="2023-03-02"/>
    <x v="14"/>
    <x v="2"/>
    <s v="Software"/>
    <n v="4200000"/>
    <n v="2411890"/>
    <n v="1788110"/>
    <n v="0.42574047619047617"/>
    <s v="Excellent"/>
    <n v="0.35"/>
    <s v="Kalimantan"/>
    <s v="Fani A."/>
    <n v="5297768"/>
  </r>
  <r>
    <s v="2023-03-02"/>
    <x v="14"/>
    <x v="1"/>
    <s v="Konsultasi"/>
    <n v="8500000"/>
    <n v="4806764"/>
    <n v="3693236"/>
    <n v="0.43449835294117645"/>
    <s v="Excellent"/>
    <n v="0.4"/>
    <s v="Jawa"/>
    <s v="Budi R."/>
    <n v="7162207"/>
  </r>
  <r>
    <s v="2023-03-02"/>
    <x v="14"/>
    <x v="2"/>
    <s v="API Services"/>
    <n v="17900000"/>
    <n v="7221315"/>
    <n v="10678685"/>
    <n v="0.59657458100558658"/>
    <s v="Excellent"/>
    <n v="0.35"/>
    <s v="Kalimantan"/>
    <s v="Citra W."/>
    <n v="17612748"/>
  </r>
  <r>
    <s v="2023-03-02"/>
    <x v="14"/>
    <x v="0"/>
    <s v="Aksesoris"/>
    <n v="4500000"/>
    <n v="1804451"/>
    <n v="2695549"/>
    <n v="0.59901088888888887"/>
    <s v="Excellent"/>
    <n v="0.25"/>
    <s v="Kalimantan"/>
    <s v="Andi S."/>
    <n v="4843678"/>
  </r>
  <r>
    <s v="2023-03-04"/>
    <x v="14"/>
    <x v="0"/>
    <s v="Bundle"/>
    <n v="15100000"/>
    <n v="6156818"/>
    <n v="8943182"/>
    <n v="0.59226370860927158"/>
    <s v="Excellent"/>
    <n v="0.25"/>
    <s v="Bali &amp; NTT"/>
    <s v="Dian P."/>
    <n v="14459605"/>
  </r>
  <r>
    <s v="2023-03-05"/>
    <x v="14"/>
    <x v="0"/>
    <s v="Hardware"/>
    <n v="7600000"/>
    <n v="3488953"/>
    <n v="4111047"/>
    <n v="0.54092723684210531"/>
    <s v="Excellent"/>
    <n v="0.25"/>
    <s v="Jawa"/>
    <s v="Budi R."/>
    <n v="8747781"/>
  </r>
  <r>
    <s v="2023-03-09"/>
    <x v="14"/>
    <x v="1"/>
    <s v="Support"/>
    <n v="2000000"/>
    <n v="813534"/>
    <n v="1186466"/>
    <n v="0.59323300000000001"/>
    <s v="Excellent"/>
    <n v="0.4"/>
    <s v="Bali &amp; NTT"/>
    <s v="Gilang T."/>
    <n v="2196006"/>
  </r>
  <r>
    <s v="2023-03-11"/>
    <x v="14"/>
    <x v="2"/>
    <s v="Subscription"/>
    <n v="7000000"/>
    <n v="3059402"/>
    <n v="3940598"/>
    <n v="0.5629425714285714"/>
    <s v="Excellent"/>
    <n v="0.35"/>
    <s v="Kalimantan"/>
    <s v="Hani M."/>
    <n v="6541925"/>
  </r>
  <r>
    <s v="2023-03-13"/>
    <x v="14"/>
    <x v="0"/>
    <s v="Aksesoris"/>
    <n v="19300000"/>
    <n v="7916718"/>
    <n v="11383282"/>
    <n v="0.58980735751295332"/>
    <s v="Excellent"/>
    <n v="0.25"/>
    <s v="Kalimantan"/>
    <s v="Eko F."/>
    <n v="15507386"/>
  </r>
  <r>
    <s v="2023-03-13"/>
    <x v="14"/>
    <x v="0"/>
    <s v="Aksesoris"/>
    <n v="1600000"/>
    <n v="566422"/>
    <n v="1033578"/>
    <n v="0.64598624999999998"/>
    <s v="Excellent"/>
    <n v="0.25"/>
    <s v="Sumatera"/>
    <s v="Budi R."/>
    <n v="1776616"/>
  </r>
  <r>
    <s v="2023-03-13"/>
    <x v="14"/>
    <x v="1"/>
    <s v="Konsultasi"/>
    <n v="11000000"/>
    <n v="4477553"/>
    <n v="6522447"/>
    <n v="0.59294972727272732"/>
    <s v="Excellent"/>
    <n v="0.4"/>
    <s v="Kalimantan"/>
    <s v="Budi R."/>
    <n v="9495655"/>
  </r>
  <r>
    <s v="2023-03-17"/>
    <x v="14"/>
    <x v="2"/>
    <s v="Subscription"/>
    <n v="6700000"/>
    <n v="3367709"/>
    <n v="3332291"/>
    <n v="0.49735686567164178"/>
    <s v="Excellent"/>
    <n v="0.35"/>
    <s v="Sumatera"/>
    <s v="Fani A."/>
    <n v="5912396"/>
  </r>
  <r>
    <s v="2023-03-18"/>
    <x v="14"/>
    <x v="0"/>
    <s v="Aksesoris"/>
    <n v="6500000"/>
    <n v="2795251"/>
    <n v="3704749"/>
    <n v="0.56996138461538459"/>
    <s v="Excellent"/>
    <n v="0.25"/>
    <s v="Sumatera"/>
    <s v="Fani A."/>
    <n v="6360491"/>
  </r>
  <r>
    <s v="2023-03-18"/>
    <x v="14"/>
    <x v="0"/>
    <s v="Aksesoris"/>
    <n v="1800000"/>
    <n v="736428"/>
    <n v="1063572"/>
    <n v="0.59087333333333336"/>
    <s v="Excellent"/>
    <n v="0.25"/>
    <s v="Kalimantan"/>
    <s v="Budi R."/>
    <n v="1624401"/>
  </r>
  <r>
    <s v="2023-03-18"/>
    <x v="14"/>
    <x v="1"/>
    <s v="Konsultasi"/>
    <n v="1100000"/>
    <n v="443944"/>
    <n v="656056"/>
    <n v="0.59641454545454542"/>
    <s v="Excellent"/>
    <n v="0.4"/>
    <s v="Sulawesi"/>
    <s v="Citra W."/>
    <n v="908039"/>
  </r>
  <r>
    <s v="2023-03-21"/>
    <x v="14"/>
    <x v="2"/>
    <s v="Software"/>
    <n v="1600000"/>
    <n v="781976"/>
    <n v="818024"/>
    <n v="0.51126499999999997"/>
    <s v="Excellent"/>
    <n v="0.35"/>
    <s v="Bali &amp; NTT"/>
    <s v="Budi R."/>
    <n v="1895325"/>
  </r>
  <r>
    <s v="2023-03-23"/>
    <x v="14"/>
    <x v="1"/>
    <s v="Konsultasi"/>
    <n v="12900000"/>
    <n v="6535069"/>
    <n v="6364931"/>
    <n v="0.49340550387596899"/>
    <s v="Excellent"/>
    <n v="0.4"/>
    <s v="Bali &amp; NTT"/>
    <s v="Citra W."/>
    <n v="13449992"/>
  </r>
  <r>
    <s v="2023-03-25"/>
    <x v="14"/>
    <x v="0"/>
    <s v="Aksesoris"/>
    <n v="18300000"/>
    <n v="8372128"/>
    <n v="9927872"/>
    <n v="0.54250666666666669"/>
    <s v="Excellent"/>
    <n v="0.25"/>
    <s v="Kalimantan"/>
    <s v="Budi R."/>
    <n v="21121940"/>
  </r>
  <r>
    <s v="2023-03-28"/>
    <x v="14"/>
    <x v="1"/>
    <s v="Support"/>
    <n v="5100000"/>
    <n v="2355350"/>
    <n v="2744650"/>
    <n v="0.53816666666666668"/>
    <s v="Excellent"/>
    <n v="0.4"/>
    <s v="Sulawesi"/>
    <s v="Fani A."/>
    <n v="4130634"/>
  </r>
  <r>
    <s v="2023-03-29"/>
    <x v="14"/>
    <x v="1"/>
    <s v="Konsultasi"/>
    <n v="10000000"/>
    <n v="3861289"/>
    <n v="6138711"/>
    <n v="0.6138711"/>
    <s v="Excellent"/>
    <n v="0.4"/>
    <s v="Sulawesi"/>
    <s v="Citra W."/>
    <n v="8386784"/>
  </r>
  <r>
    <s v="2023-03-31"/>
    <x v="14"/>
    <x v="2"/>
    <s v="API Services"/>
    <n v="7500000"/>
    <n v="4051096"/>
    <n v="3448904"/>
    <n v="0.45985386666666667"/>
    <s v="Excellent"/>
    <n v="0.35"/>
    <s v="Jawa"/>
    <s v="Eko F."/>
    <n v="6040383"/>
  </r>
  <r>
    <s v="2023-03-31"/>
    <x v="14"/>
    <x v="1"/>
    <s v="Konsultasi"/>
    <n v="16700000"/>
    <n v="6454197"/>
    <n v="10245803"/>
    <n v="0.61352113772455086"/>
    <s v="Excellent"/>
    <n v="0.4"/>
    <s v="Sumatera"/>
    <s v="Dian P."/>
    <n v="16609912"/>
  </r>
  <r>
    <s v="2023-03-31"/>
    <x v="14"/>
    <x v="2"/>
    <s v="Software"/>
    <n v="14800000"/>
    <n v="6430666"/>
    <n v="8369334"/>
    <n v="0.56549554054054052"/>
    <s v="Excellent"/>
    <n v="0.35"/>
    <s v="Sumatera"/>
    <s v="Fani A."/>
    <n v="14695920"/>
  </r>
  <r>
    <s v="2023-04-01"/>
    <x v="15"/>
    <x v="2"/>
    <s v="API Services"/>
    <n v="1400000"/>
    <n v="817352"/>
    <n v="582648"/>
    <n v="0.41617714285714286"/>
    <s v="Excellent"/>
    <n v="0.35"/>
    <s v="Jawa"/>
    <s v="Eko F."/>
    <n v="1741763"/>
  </r>
  <r>
    <s v="2023-04-01"/>
    <x v="15"/>
    <x v="1"/>
    <s v="Konsultasi"/>
    <n v="3000000"/>
    <n v="1173324"/>
    <n v="1826676"/>
    <n v="0.60889199999999999"/>
    <s v="Excellent"/>
    <n v="0.4"/>
    <s v="Bali &amp; NTT"/>
    <s v="Andi S."/>
    <n v="2597998"/>
  </r>
  <r>
    <s v="2023-04-02"/>
    <x v="15"/>
    <x v="1"/>
    <s v="Support"/>
    <n v="17600000"/>
    <n v="8411942"/>
    <n v="9188058"/>
    <n v="0.52204874999999995"/>
    <s v="Excellent"/>
    <n v="0.4"/>
    <s v="Sumatera"/>
    <s v="Budi R."/>
    <n v="17650079"/>
  </r>
  <r>
    <s v="2023-04-02"/>
    <x v="15"/>
    <x v="2"/>
    <s v="Software"/>
    <n v="3000000"/>
    <n v="1685461"/>
    <n v="1314539"/>
    <n v="0.43817966666666669"/>
    <s v="Excellent"/>
    <n v="0.35"/>
    <s v="Sulawesi"/>
    <s v="Hani M."/>
    <n v="3012801"/>
  </r>
  <r>
    <s v="2023-04-03"/>
    <x v="15"/>
    <x v="2"/>
    <s v="API Services"/>
    <n v="9200000"/>
    <n v="4741950"/>
    <n v="4458050"/>
    <n v="0.48457065217391304"/>
    <s v="Excellent"/>
    <n v="0.35"/>
    <s v="Sulawesi"/>
    <s v="Dian P."/>
    <n v="11617441"/>
  </r>
  <r>
    <s v="2023-04-03"/>
    <x v="15"/>
    <x v="0"/>
    <s v="Bundle"/>
    <n v="11400000"/>
    <n v="5689056"/>
    <n v="5710944"/>
    <n v="0.50095999999999996"/>
    <s v="Excellent"/>
    <n v="0.25"/>
    <s v="Sumatera"/>
    <s v="Budi R."/>
    <n v="11948192"/>
  </r>
  <r>
    <s v="2023-04-04"/>
    <x v="15"/>
    <x v="2"/>
    <s v="API Services"/>
    <n v="14600000"/>
    <n v="5348942"/>
    <n v="9251058"/>
    <n v="0.63363410958904109"/>
    <s v="Excellent"/>
    <n v="0.35"/>
    <s v="Sumatera"/>
    <s v="Dian P."/>
    <n v="13477421"/>
  </r>
  <r>
    <s v="2023-04-04"/>
    <x v="15"/>
    <x v="2"/>
    <s v="API Services"/>
    <n v="14400000"/>
    <n v="6108221"/>
    <n v="8291779"/>
    <n v="0.57581798611111112"/>
    <s v="Excellent"/>
    <n v="0.35"/>
    <s v="Jawa"/>
    <s v="Citra W."/>
    <n v="13425110"/>
  </r>
  <r>
    <s v="2023-04-04"/>
    <x v="15"/>
    <x v="0"/>
    <s v="Aksesoris"/>
    <n v="5500000"/>
    <n v="2666496"/>
    <n v="2833504"/>
    <n v="0.51518254545454545"/>
    <s v="Excellent"/>
    <n v="0.25"/>
    <s v="Sumatera"/>
    <s v="Andi S."/>
    <n v="7073301"/>
  </r>
  <r>
    <s v="2023-04-06"/>
    <x v="15"/>
    <x v="1"/>
    <s v="Konsultasi"/>
    <n v="17900000"/>
    <n v="8460266"/>
    <n v="9439734"/>
    <n v="0.52735944134078216"/>
    <s v="Excellent"/>
    <n v="0.4"/>
    <s v="Sulawesi"/>
    <s v="Hani M."/>
    <n v="16557878"/>
  </r>
  <r>
    <s v="2023-04-06"/>
    <x v="15"/>
    <x v="0"/>
    <s v="Hardware"/>
    <n v="7500000"/>
    <n v="3959826"/>
    <n v="3540174"/>
    <n v="0.47202319999999998"/>
    <s v="Excellent"/>
    <n v="0.25"/>
    <s v="Jawa"/>
    <s v="Hani M."/>
    <n v="7364184"/>
  </r>
  <r>
    <s v="2023-04-06"/>
    <x v="15"/>
    <x v="0"/>
    <s v="Aksesoris"/>
    <n v="17100000"/>
    <n v="9628004"/>
    <n v="7471996"/>
    <n v="0.43695883040935674"/>
    <s v="Excellent"/>
    <n v="0.25"/>
    <s v="Bali &amp; NTT"/>
    <s v="Eko F."/>
    <n v="20663095"/>
  </r>
  <r>
    <s v="2023-04-07"/>
    <x v="15"/>
    <x v="1"/>
    <s v="Support"/>
    <n v="4700000"/>
    <n v="2690445"/>
    <n v="2009555"/>
    <n v="0.42756489361702127"/>
    <s v="Excellent"/>
    <n v="0.4"/>
    <s v="Sumatera"/>
    <s v="Fani A."/>
    <n v="4567116"/>
  </r>
  <r>
    <s v="2023-04-08"/>
    <x v="15"/>
    <x v="2"/>
    <s v="Subscription"/>
    <n v="16400000"/>
    <n v="6817499"/>
    <n v="9582501"/>
    <n v="0.5842988414634146"/>
    <s v="Excellent"/>
    <n v="0.35"/>
    <s v="Kalimantan"/>
    <s v="Fani A."/>
    <n v="16726876"/>
  </r>
  <r>
    <s v="2023-04-08"/>
    <x v="15"/>
    <x v="2"/>
    <s v="API Services"/>
    <n v="7000000"/>
    <n v="2485701"/>
    <n v="4514299"/>
    <n v="0.64489985714285714"/>
    <s v="Excellent"/>
    <n v="0.35"/>
    <s v="Bali &amp; NTT"/>
    <s v="Andi S."/>
    <n v="7721557"/>
  </r>
  <r>
    <s v="2023-04-08"/>
    <x v="15"/>
    <x v="1"/>
    <s v="Support"/>
    <n v="900000"/>
    <n v="451278"/>
    <n v="448722"/>
    <n v="0.49858000000000002"/>
    <s v="Excellent"/>
    <n v="0.4"/>
    <s v="Kalimantan"/>
    <s v="Budi R."/>
    <n v="741371"/>
  </r>
  <r>
    <s v="2023-04-09"/>
    <x v="15"/>
    <x v="2"/>
    <s v="Subscription"/>
    <n v="9600000"/>
    <n v="4947804"/>
    <n v="4652196"/>
    <n v="0.48460375"/>
    <s v="Excellent"/>
    <n v="0.35"/>
    <s v="Bali &amp; NTT"/>
    <s v="Eko F."/>
    <n v="7730728"/>
  </r>
  <r>
    <s v="2023-04-09"/>
    <x v="15"/>
    <x v="2"/>
    <s v="API Services"/>
    <n v="14100000"/>
    <n v="7263321"/>
    <n v="6836679"/>
    <n v="0.48487085106382977"/>
    <s v="Excellent"/>
    <n v="0.35"/>
    <s v="Sulawesi"/>
    <s v="Gilang T."/>
    <n v="12799892"/>
  </r>
  <r>
    <s v="2023-04-09"/>
    <x v="15"/>
    <x v="2"/>
    <s v="Software"/>
    <n v="1800000"/>
    <n v="837875"/>
    <n v="962125"/>
    <n v="0.53451388888888884"/>
    <s v="Excellent"/>
    <n v="0.35"/>
    <s v="Jawa"/>
    <s v="Andi S."/>
    <n v="1646270"/>
  </r>
  <r>
    <s v="2023-04-10"/>
    <x v="15"/>
    <x v="2"/>
    <s v="Subscription"/>
    <n v="8800000"/>
    <n v="3525053"/>
    <n v="5274947"/>
    <n v="0.59942579545454544"/>
    <s v="Excellent"/>
    <n v="0.35"/>
    <s v="Sumatera"/>
    <s v="Fani A."/>
    <n v="7993021"/>
  </r>
  <r>
    <s v="2023-04-11"/>
    <x v="15"/>
    <x v="1"/>
    <s v="Support"/>
    <n v="14500000"/>
    <n v="6126950"/>
    <n v="8373050"/>
    <n v="0.577451724137931"/>
    <s v="Excellent"/>
    <n v="0.4"/>
    <s v="Sulawesi"/>
    <s v="Andi S."/>
    <n v="18826728"/>
  </r>
  <r>
    <s v="2023-04-16"/>
    <x v="15"/>
    <x v="0"/>
    <s v="Bundle"/>
    <n v="14300000"/>
    <n v="8049769"/>
    <n v="6250231"/>
    <n v="0.43707909090909092"/>
    <s v="Excellent"/>
    <n v="0.25"/>
    <s v="Sumatera"/>
    <s v="Fani A."/>
    <n v="18500548"/>
  </r>
  <r>
    <s v="2023-04-19"/>
    <x v="15"/>
    <x v="2"/>
    <s v="Subscription"/>
    <n v="4900000"/>
    <n v="2585006"/>
    <n v="2314994"/>
    <n v="0.47244775510204079"/>
    <s v="Excellent"/>
    <n v="0.35"/>
    <s v="Sumatera"/>
    <s v="Andi S."/>
    <n v="5667902"/>
  </r>
  <r>
    <s v="2023-04-20"/>
    <x v="15"/>
    <x v="1"/>
    <s v="Training"/>
    <n v="10000000"/>
    <n v="5110000"/>
    <n v="4890000"/>
    <n v="0.48899999999999999"/>
    <s v="Excellent"/>
    <n v="0.4"/>
    <s v="Sumatera"/>
    <s v="Hani M."/>
    <n v="9067568"/>
  </r>
  <r>
    <s v="2023-04-20"/>
    <x v="15"/>
    <x v="1"/>
    <s v="Training"/>
    <n v="15300000"/>
    <n v="8963008"/>
    <n v="6336992"/>
    <n v="0.41418248366013072"/>
    <s v="Excellent"/>
    <n v="0.4"/>
    <s v="Sulawesi"/>
    <s v="Andi S."/>
    <n v="17367612"/>
  </r>
  <r>
    <s v="2023-04-22"/>
    <x v="15"/>
    <x v="0"/>
    <s v="Bundle"/>
    <n v="1800000"/>
    <n v="837107"/>
    <n v="962893"/>
    <n v="0.53494055555555553"/>
    <s v="Excellent"/>
    <n v="0.25"/>
    <s v="Bali &amp; NTT"/>
    <s v="Gilang T."/>
    <n v="1834083"/>
  </r>
  <r>
    <s v="2023-04-22"/>
    <x v="15"/>
    <x v="0"/>
    <s v="Aksesoris"/>
    <n v="10800000"/>
    <n v="5031784"/>
    <n v="5768216"/>
    <n v="0.53409407407407405"/>
    <s v="Excellent"/>
    <n v="0.25"/>
    <s v="Sulawesi"/>
    <s v="Citra W."/>
    <n v="13495083"/>
  </r>
  <r>
    <s v="2023-04-22"/>
    <x v="15"/>
    <x v="2"/>
    <s v="Subscription"/>
    <n v="16500000"/>
    <n v="7350830"/>
    <n v="9149170"/>
    <n v="0.5544951515151515"/>
    <s v="Excellent"/>
    <n v="0.35"/>
    <s v="Sulawesi"/>
    <s v="Fani A."/>
    <n v="14495071"/>
  </r>
  <r>
    <s v="2023-04-23"/>
    <x v="15"/>
    <x v="1"/>
    <s v="Konsultasi"/>
    <n v="1800000"/>
    <n v="681824"/>
    <n v="1118176"/>
    <n v="0.62120888888888892"/>
    <s v="Excellent"/>
    <n v="0.4"/>
    <s v="Jawa"/>
    <s v="Budi R."/>
    <n v="2134239"/>
  </r>
  <r>
    <s v="2023-04-24"/>
    <x v="15"/>
    <x v="0"/>
    <s v="Bundle"/>
    <n v="19400000"/>
    <n v="7142129"/>
    <n v="12257871"/>
    <n v="0.63184902061855674"/>
    <s v="Excellent"/>
    <n v="0.25"/>
    <s v="Bali &amp; NTT"/>
    <s v="Hani M."/>
    <n v="22125319"/>
  </r>
  <r>
    <s v="2023-04-24"/>
    <x v="15"/>
    <x v="0"/>
    <s v="Bundle"/>
    <n v="15100000"/>
    <n v="8971034"/>
    <n v="6128966"/>
    <n v="0.40589178807947018"/>
    <s v="Excellent"/>
    <n v="0.25"/>
    <s v="Sumatera"/>
    <s v="Dian P."/>
    <n v="14918657"/>
  </r>
  <r>
    <s v="2023-04-26"/>
    <x v="15"/>
    <x v="0"/>
    <s v="Hardware"/>
    <n v="18200000"/>
    <n v="8598023"/>
    <n v="9601977"/>
    <n v="0.52758115384615389"/>
    <s v="Excellent"/>
    <n v="0.25"/>
    <s v="Bali &amp; NTT"/>
    <s v="Budi R."/>
    <n v="17675931"/>
  </r>
  <r>
    <s v="2023-04-26"/>
    <x v="15"/>
    <x v="2"/>
    <s v="Software"/>
    <n v="6600000"/>
    <n v="3731785"/>
    <n v="2868215"/>
    <n v="0.43457803030303033"/>
    <s v="Excellent"/>
    <n v="0.35"/>
    <s v="Bali &amp; NTT"/>
    <s v="Eko F."/>
    <n v="8033123"/>
  </r>
  <r>
    <s v="2023-04-27"/>
    <x v="15"/>
    <x v="2"/>
    <s v="API Services"/>
    <n v="18600000"/>
    <n v="7098975"/>
    <n v="11501025"/>
    <n v="0.61833467741935488"/>
    <s v="Excellent"/>
    <n v="0.35"/>
    <s v="Bali &amp; NTT"/>
    <s v="Dian P."/>
    <n v="21742113"/>
  </r>
  <r>
    <s v="2023-04-29"/>
    <x v="15"/>
    <x v="1"/>
    <s v="Konsultasi"/>
    <n v="10000000"/>
    <n v="5146503"/>
    <n v="4853497"/>
    <n v="0.4853497"/>
    <s v="Excellent"/>
    <n v="0.4"/>
    <s v="Bali &amp; NTT"/>
    <s v="Citra W."/>
    <n v="9856361"/>
  </r>
  <r>
    <s v="2023-05-02"/>
    <x v="16"/>
    <x v="0"/>
    <s v="Bundle"/>
    <n v="4900000"/>
    <n v="2069932"/>
    <n v="2830068"/>
    <n v="0.57756489795918364"/>
    <s v="Excellent"/>
    <n v="0.25"/>
    <s v="Bali &amp; NTT"/>
    <s v="Citra W."/>
    <n v="4168673"/>
  </r>
  <r>
    <s v="2023-05-03"/>
    <x v="16"/>
    <x v="0"/>
    <s v="Aksesoris"/>
    <n v="14200000"/>
    <n v="6533476"/>
    <n v="7666524"/>
    <n v="0.53989605633802817"/>
    <s v="Excellent"/>
    <n v="0.25"/>
    <s v="Jawa"/>
    <s v="Eko F."/>
    <n v="17444101"/>
  </r>
  <r>
    <s v="2023-05-03"/>
    <x v="16"/>
    <x v="0"/>
    <s v="Aksesoris"/>
    <n v="3700000"/>
    <n v="1593660"/>
    <n v="2106340"/>
    <n v="0.56928108108108111"/>
    <s v="Excellent"/>
    <n v="0.25"/>
    <s v="Bali &amp; NTT"/>
    <s v="Budi R."/>
    <n v="3958974"/>
  </r>
  <r>
    <s v="2023-05-03"/>
    <x v="16"/>
    <x v="0"/>
    <s v="Aksesoris"/>
    <n v="8500000"/>
    <n v="3228820"/>
    <n v="5271180"/>
    <n v="0.62013882352941174"/>
    <s v="Excellent"/>
    <n v="0.25"/>
    <s v="Kalimantan"/>
    <s v="Andi S."/>
    <n v="7569695"/>
  </r>
  <r>
    <s v="2023-05-05"/>
    <x v="16"/>
    <x v="0"/>
    <s v="Bundle"/>
    <n v="15100000"/>
    <n v="6025983"/>
    <n v="9074017"/>
    <n v="0.60092827814569538"/>
    <s v="Excellent"/>
    <n v="0.25"/>
    <s v="Sumatera"/>
    <s v="Citra W."/>
    <n v="13735799"/>
  </r>
  <r>
    <s v="2023-05-05"/>
    <x v="16"/>
    <x v="0"/>
    <s v="Hardware"/>
    <n v="3000000"/>
    <n v="1179313"/>
    <n v="1820687"/>
    <n v="0.60689566666666672"/>
    <s v="Excellent"/>
    <n v="0.25"/>
    <s v="Bali &amp; NTT"/>
    <s v="Budi R."/>
    <n v="3229548"/>
  </r>
  <r>
    <s v="2023-05-06"/>
    <x v="16"/>
    <x v="2"/>
    <s v="Software"/>
    <n v="6300000"/>
    <n v="2264899"/>
    <n v="4035101"/>
    <n v="0.64049222222222224"/>
    <s v="Excellent"/>
    <n v="0.35"/>
    <s v="Jawa"/>
    <s v="Budi R."/>
    <n v="6262401"/>
  </r>
  <r>
    <s v="2023-05-06"/>
    <x v="16"/>
    <x v="2"/>
    <s v="Subscription"/>
    <n v="1100000"/>
    <n v="569591"/>
    <n v="530409"/>
    <n v="0.48219000000000001"/>
    <s v="Excellent"/>
    <n v="0.35"/>
    <s v="Sumatera"/>
    <s v="Dian P."/>
    <n v="1409754"/>
  </r>
  <r>
    <s v="2023-05-06"/>
    <x v="16"/>
    <x v="1"/>
    <s v="Support"/>
    <n v="10900000"/>
    <n v="5575461"/>
    <n v="5324539"/>
    <n v="0.48848981651376144"/>
    <s v="Excellent"/>
    <n v="0.4"/>
    <s v="Sumatera"/>
    <s v="Dian P."/>
    <n v="12837094"/>
  </r>
  <r>
    <s v="2023-05-06"/>
    <x v="16"/>
    <x v="1"/>
    <s v="Training"/>
    <n v="1200000"/>
    <n v="522054"/>
    <n v="677946"/>
    <n v="0.56495499999999998"/>
    <s v="Excellent"/>
    <n v="0.4"/>
    <s v="Sulawesi"/>
    <s v="Budi R."/>
    <n v="1193566"/>
  </r>
  <r>
    <s v="2023-05-10"/>
    <x v="16"/>
    <x v="2"/>
    <s v="Software"/>
    <n v="12400000"/>
    <n v="7176915"/>
    <n v="5223085"/>
    <n v="0.42121653225806449"/>
    <s v="Excellent"/>
    <n v="0.35"/>
    <s v="Sulawesi"/>
    <s v="Budi R."/>
    <n v="10946744"/>
  </r>
  <r>
    <s v="2023-05-10"/>
    <x v="16"/>
    <x v="2"/>
    <s v="Subscription"/>
    <n v="10400000"/>
    <n v="4075966"/>
    <n v="6324034"/>
    <n v="0.60808019230769228"/>
    <s v="Excellent"/>
    <n v="0.35"/>
    <s v="Sulawesi"/>
    <s v="Dian P."/>
    <n v="11312307"/>
  </r>
  <r>
    <s v="2023-05-11"/>
    <x v="16"/>
    <x v="2"/>
    <s v="Subscription"/>
    <n v="4400000"/>
    <n v="2489011"/>
    <n v="1910989"/>
    <n v="0.43431568181818181"/>
    <s v="Excellent"/>
    <n v="0.35"/>
    <s v="Kalimantan"/>
    <s v="Citra W."/>
    <n v="5592702"/>
  </r>
  <r>
    <s v="2023-05-13"/>
    <x v="16"/>
    <x v="2"/>
    <s v="Software"/>
    <n v="6800000"/>
    <n v="3817149"/>
    <n v="2982851"/>
    <n v="0.43865455882352944"/>
    <s v="Excellent"/>
    <n v="0.35"/>
    <s v="Sulawesi"/>
    <s v="Citra W."/>
    <n v="6191309"/>
  </r>
  <r>
    <s v="2023-05-14"/>
    <x v="16"/>
    <x v="0"/>
    <s v="Aksesoris"/>
    <n v="18700000"/>
    <n v="8719831"/>
    <n v="9980169"/>
    <n v="0.53369887700534757"/>
    <s v="Excellent"/>
    <n v="0.25"/>
    <s v="Sulawesi"/>
    <s v="Citra W."/>
    <n v="23210285"/>
  </r>
  <r>
    <s v="2023-05-15"/>
    <x v="16"/>
    <x v="0"/>
    <s v="Bundle"/>
    <n v="18100000"/>
    <n v="8838281"/>
    <n v="9261719"/>
    <n v="0.51169718232044203"/>
    <s v="Excellent"/>
    <n v="0.25"/>
    <s v="Sulawesi"/>
    <s v="Fani A."/>
    <n v="16508382"/>
  </r>
  <r>
    <s v="2023-05-17"/>
    <x v="16"/>
    <x v="0"/>
    <s v="Aksesoris"/>
    <n v="11600000"/>
    <n v="4201906"/>
    <n v="7398094"/>
    <n v="0.63776672413793101"/>
    <s v="Excellent"/>
    <n v="0.25"/>
    <s v="Sulawesi"/>
    <s v="Citra W."/>
    <n v="9297732"/>
  </r>
  <r>
    <s v="2023-05-18"/>
    <x v="16"/>
    <x v="2"/>
    <s v="Subscription"/>
    <n v="1500000"/>
    <n v="659370"/>
    <n v="840630"/>
    <n v="0.56042000000000003"/>
    <s v="Excellent"/>
    <n v="0.35"/>
    <s v="Sulawesi"/>
    <s v="Budi R."/>
    <n v="1887457"/>
  </r>
  <r>
    <s v="2023-05-18"/>
    <x v="16"/>
    <x v="2"/>
    <s v="Subscription"/>
    <n v="15600000"/>
    <n v="6596570"/>
    <n v="9003430"/>
    <n v="0.57714294871794869"/>
    <s v="Excellent"/>
    <n v="0.35"/>
    <s v="Jawa"/>
    <s v="Eko F."/>
    <n v="19007428"/>
  </r>
  <r>
    <s v="2023-05-18"/>
    <x v="16"/>
    <x v="1"/>
    <s v="Training"/>
    <n v="4000000"/>
    <n v="1979578"/>
    <n v="2020422"/>
    <n v="0.50510549999999999"/>
    <s v="Excellent"/>
    <n v="0.4"/>
    <s v="Bali &amp; NTT"/>
    <s v="Dian P."/>
    <n v="4316624"/>
  </r>
  <r>
    <s v="2023-05-19"/>
    <x v="16"/>
    <x v="0"/>
    <s v="Bundle"/>
    <n v="15700000"/>
    <n v="6614969"/>
    <n v="9085031"/>
    <n v="0.57866439490445865"/>
    <s v="Excellent"/>
    <n v="0.25"/>
    <s v="Sumatera"/>
    <s v="Budi R."/>
    <n v="20306232"/>
  </r>
  <r>
    <s v="2023-05-19"/>
    <x v="16"/>
    <x v="1"/>
    <s v="Support"/>
    <n v="16000000"/>
    <n v="7351724"/>
    <n v="8648276"/>
    <n v="0.54051724999999995"/>
    <s v="Excellent"/>
    <n v="0.4"/>
    <s v="Sumatera"/>
    <s v="Dian P."/>
    <n v="18863027"/>
  </r>
  <r>
    <s v="2023-05-21"/>
    <x v="16"/>
    <x v="1"/>
    <s v="Konsultasi"/>
    <n v="16900000"/>
    <n v="8163294"/>
    <n v="8736706"/>
    <n v="0.51696485207100595"/>
    <s v="Excellent"/>
    <n v="0.4"/>
    <s v="Jawa"/>
    <s v="Gilang T."/>
    <n v="19279205"/>
  </r>
  <r>
    <s v="2023-05-22"/>
    <x v="16"/>
    <x v="2"/>
    <s v="API Services"/>
    <n v="6100000"/>
    <n v="2509161"/>
    <n v="3590839"/>
    <n v="0.58866213114754096"/>
    <s v="Excellent"/>
    <n v="0.35"/>
    <s v="Sumatera"/>
    <s v="Citra W."/>
    <n v="5568789"/>
  </r>
  <r>
    <s v="2023-05-22"/>
    <x v="16"/>
    <x v="1"/>
    <s v="Support"/>
    <n v="13100000"/>
    <n v="5844153"/>
    <n v="7255847"/>
    <n v="0.55388145038167935"/>
    <s v="Excellent"/>
    <n v="0.4"/>
    <s v="Bali &amp; NTT"/>
    <s v="Gilang T."/>
    <n v="11461956"/>
  </r>
  <r>
    <s v="2023-05-23"/>
    <x v="16"/>
    <x v="2"/>
    <s v="Software"/>
    <n v="18200000"/>
    <n v="10693003"/>
    <n v="7506997"/>
    <n v="0.41247236263736264"/>
    <s v="Excellent"/>
    <n v="0.35"/>
    <s v="Sulawesi"/>
    <s v="Eko F."/>
    <n v="16760683"/>
  </r>
  <r>
    <s v="2023-05-24"/>
    <x v="16"/>
    <x v="1"/>
    <s v="Konsultasi"/>
    <n v="18100000"/>
    <n v="7618729"/>
    <n v="10481271"/>
    <n v="0.57907574585635357"/>
    <s v="Excellent"/>
    <n v="0.4"/>
    <s v="Kalimantan"/>
    <s v="Citra W."/>
    <n v="18040210"/>
  </r>
  <r>
    <s v="2023-05-26"/>
    <x v="16"/>
    <x v="0"/>
    <s v="Bundle"/>
    <n v="8100000"/>
    <n v="3658913"/>
    <n v="4441087"/>
    <n v="0.54828234567901235"/>
    <s v="Excellent"/>
    <n v="0.25"/>
    <s v="Kalimantan"/>
    <s v="Fani A."/>
    <n v="6585898"/>
  </r>
  <r>
    <s v="2023-05-31"/>
    <x v="16"/>
    <x v="0"/>
    <s v="Hardware"/>
    <n v="1400000"/>
    <n v="562412"/>
    <n v="837588"/>
    <n v="0.59827714285714284"/>
    <s v="Excellent"/>
    <n v="0.25"/>
    <s v="Kalimantan"/>
    <s v="Eko F."/>
    <n v="1539858"/>
  </r>
  <r>
    <s v="2023-06-01"/>
    <x v="17"/>
    <x v="2"/>
    <s v="Subscription"/>
    <n v="13500000"/>
    <n v="5382713"/>
    <n v="8117287"/>
    <n v="0.60128051851851849"/>
    <s v="Excellent"/>
    <n v="0.35"/>
    <s v="Sumatera"/>
    <s v="Andi S."/>
    <n v="16470086"/>
  </r>
  <r>
    <s v="2023-06-01"/>
    <x v="17"/>
    <x v="2"/>
    <s v="API Services"/>
    <n v="18600000"/>
    <n v="8329169"/>
    <n v="10270831"/>
    <n v="0.55219521505376346"/>
    <s v="Excellent"/>
    <n v="0.35"/>
    <s v="Sulawesi"/>
    <s v="Eko F."/>
    <n v="18281979"/>
  </r>
  <r>
    <s v="2023-06-02"/>
    <x v="17"/>
    <x v="0"/>
    <s v="Bundle"/>
    <n v="4400000"/>
    <n v="2460749"/>
    <n v="1939251"/>
    <n v="0.44073886363636361"/>
    <s v="Excellent"/>
    <n v="0.25"/>
    <s v="Bali &amp; NTT"/>
    <s v="Dian P."/>
    <n v="3804872"/>
  </r>
  <r>
    <s v="2023-06-04"/>
    <x v="17"/>
    <x v="0"/>
    <s v="Bundle"/>
    <n v="3800000"/>
    <n v="1613230"/>
    <n v="2186770"/>
    <n v="0.57546578947368421"/>
    <s v="Excellent"/>
    <n v="0.25"/>
    <s v="Bali &amp; NTT"/>
    <s v="Budi R."/>
    <n v="4190635"/>
  </r>
  <r>
    <s v="2023-06-05"/>
    <x v="17"/>
    <x v="0"/>
    <s v="Bundle"/>
    <n v="18300000"/>
    <n v="6609597"/>
    <n v="11690403"/>
    <n v="0.6388198360655738"/>
    <s v="Excellent"/>
    <n v="0.25"/>
    <s v="Sulawesi"/>
    <s v="Citra W."/>
    <n v="16602612"/>
  </r>
  <r>
    <s v="2023-06-06"/>
    <x v="17"/>
    <x v="2"/>
    <s v="Software"/>
    <n v="3700000"/>
    <n v="2040759"/>
    <n v="1659241"/>
    <n v="0.44844351351351353"/>
    <s v="Excellent"/>
    <n v="0.35"/>
    <s v="Jawa"/>
    <s v="Citra W."/>
    <n v="3158041"/>
  </r>
  <r>
    <s v="2023-06-06"/>
    <x v="17"/>
    <x v="2"/>
    <s v="Subscription"/>
    <n v="5900000"/>
    <n v="2289577"/>
    <n v="3610423"/>
    <n v="0.6119361016949153"/>
    <s v="Excellent"/>
    <n v="0.35"/>
    <s v="Bali &amp; NTT"/>
    <s v="Eko F."/>
    <n v="4741682"/>
  </r>
  <r>
    <s v="2023-06-08"/>
    <x v="17"/>
    <x v="1"/>
    <s v="Training"/>
    <n v="5500000"/>
    <n v="2290339"/>
    <n v="3209661"/>
    <n v="0.5835747272727273"/>
    <s v="Excellent"/>
    <n v="0.4"/>
    <s v="Sulawesi"/>
    <s v="Budi R."/>
    <n v="7099338"/>
  </r>
  <r>
    <s v="2023-06-08"/>
    <x v="17"/>
    <x v="2"/>
    <s v="Subscription"/>
    <n v="17600000"/>
    <n v="8863210"/>
    <n v="8736790"/>
    <n v="0.49640852272727271"/>
    <s v="Excellent"/>
    <n v="0.35"/>
    <s v="Kalimantan"/>
    <s v="Budi R."/>
    <n v="20992373"/>
  </r>
  <r>
    <s v="2023-06-08"/>
    <x v="17"/>
    <x v="0"/>
    <s v="Bundle"/>
    <n v="15600000"/>
    <n v="6514622"/>
    <n v="9085378"/>
    <n v="0.58239602564102566"/>
    <s v="Excellent"/>
    <n v="0.25"/>
    <s v="Sulawesi"/>
    <s v="Citra W."/>
    <n v="13769725"/>
  </r>
  <r>
    <s v="2023-06-09"/>
    <x v="17"/>
    <x v="0"/>
    <s v="Hardware"/>
    <n v="4700000"/>
    <n v="1868418"/>
    <n v="2831582"/>
    <n v="0.60246425531914893"/>
    <s v="Excellent"/>
    <n v="0.25"/>
    <s v="Bali &amp; NTT"/>
    <s v="Budi R."/>
    <n v="5258099"/>
  </r>
  <r>
    <s v="2023-06-10"/>
    <x v="17"/>
    <x v="2"/>
    <s v="API Services"/>
    <n v="13400000"/>
    <n v="7687707"/>
    <n v="5712293"/>
    <n v="0.4262905223880597"/>
    <s v="Excellent"/>
    <n v="0.35"/>
    <s v="Sumatera"/>
    <s v="Andi S."/>
    <n v="13358498"/>
  </r>
  <r>
    <s v="2023-06-11"/>
    <x v="17"/>
    <x v="2"/>
    <s v="API Services"/>
    <n v="14500000"/>
    <n v="7716408"/>
    <n v="6783592"/>
    <n v="0.46783393103448279"/>
    <s v="Excellent"/>
    <n v="0.35"/>
    <s v="Jawa"/>
    <s v="Citra W."/>
    <n v="15706041"/>
  </r>
  <r>
    <s v="2023-06-12"/>
    <x v="17"/>
    <x v="1"/>
    <s v="Training"/>
    <n v="8800000"/>
    <n v="3899254"/>
    <n v="4900746"/>
    <n v="0.55690295454545458"/>
    <s v="Excellent"/>
    <n v="0.4"/>
    <s v="Sulawesi"/>
    <s v="Andi S."/>
    <n v="7285569"/>
  </r>
  <r>
    <s v="2023-06-13"/>
    <x v="17"/>
    <x v="0"/>
    <s v="Bundle"/>
    <n v="4300000"/>
    <n v="1940572"/>
    <n v="2359428"/>
    <n v="0.54870418604651161"/>
    <s v="Excellent"/>
    <n v="0.25"/>
    <s v="Sumatera"/>
    <s v="Gilang T."/>
    <n v="4650453"/>
  </r>
  <r>
    <s v="2023-06-14"/>
    <x v="17"/>
    <x v="2"/>
    <s v="API Services"/>
    <n v="17600000"/>
    <n v="7771473"/>
    <n v="9828527"/>
    <n v="0.55843903409090911"/>
    <s v="Excellent"/>
    <n v="0.35"/>
    <s v="Bali &amp; NTT"/>
    <s v="Andi S."/>
    <n v="15025138"/>
  </r>
  <r>
    <s v="2023-06-14"/>
    <x v="17"/>
    <x v="2"/>
    <s v="Software"/>
    <n v="8800000"/>
    <n v="4449604"/>
    <n v="4350396"/>
    <n v="0.49436318181818184"/>
    <s v="Excellent"/>
    <n v="0.35"/>
    <s v="Sulawesi"/>
    <s v="Eko F."/>
    <n v="11084113"/>
  </r>
  <r>
    <s v="2023-06-15"/>
    <x v="17"/>
    <x v="1"/>
    <s v="Konsultasi"/>
    <n v="16300000"/>
    <n v="8640966"/>
    <n v="7659034"/>
    <n v="0.46987938650306749"/>
    <s v="Excellent"/>
    <n v="0.4"/>
    <s v="Kalimantan"/>
    <s v="Fani A."/>
    <n v="18941246"/>
  </r>
  <r>
    <s v="2023-06-17"/>
    <x v="17"/>
    <x v="2"/>
    <s v="API Services"/>
    <n v="17200000"/>
    <n v="7398378"/>
    <n v="9801622"/>
    <n v="0.56986174418604651"/>
    <s v="Excellent"/>
    <n v="0.35"/>
    <s v="Bali &amp; NTT"/>
    <s v="Gilang T."/>
    <n v="18295102"/>
  </r>
  <r>
    <s v="2023-06-19"/>
    <x v="17"/>
    <x v="0"/>
    <s v="Hardware"/>
    <n v="14200000"/>
    <n v="7751534"/>
    <n v="6448466"/>
    <n v="0.454117323943662"/>
    <s v="Excellent"/>
    <n v="0.25"/>
    <s v="Bali &amp; NTT"/>
    <s v="Dian P."/>
    <n v="15472885"/>
  </r>
  <r>
    <s v="2023-06-21"/>
    <x v="17"/>
    <x v="2"/>
    <s v="API Services"/>
    <n v="15800000"/>
    <n v="7390881"/>
    <n v="8409119"/>
    <n v="0.53222272151898731"/>
    <s v="Excellent"/>
    <n v="0.35"/>
    <s v="Kalimantan"/>
    <s v="Budi R."/>
    <n v="17857329"/>
  </r>
  <r>
    <s v="2023-06-25"/>
    <x v="17"/>
    <x v="2"/>
    <s v="Software"/>
    <n v="2700000"/>
    <n v="1152305"/>
    <n v="1547695"/>
    <n v="0.57322037037037032"/>
    <s v="Excellent"/>
    <n v="0.35"/>
    <s v="Bali &amp; NTT"/>
    <s v="Citra W."/>
    <n v="2953084"/>
  </r>
  <r>
    <s v="2023-06-26"/>
    <x v="17"/>
    <x v="0"/>
    <s v="Aksesoris"/>
    <n v="15900000"/>
    <n v="9144211"/>
    <n v="6755789"/>
    <n v="0.42489238993710693"/>
    <s v="Excellent"/>
    <n v="0.25"/>
    <s v="Kalimantan"/>
    <s v="Budi R."/>
    <n v="20249797"/>
  </r>
  <r>
    <s v="2023-06-26"/>
    <x v="17"/>
    <x v="2"/>
    <s v="Software"/>
    <n v="1000000"/>
    <n v="431844"/>
    <n v="568156"/>
    <n v="0.56815599999999999"/>
    <s v="Excellent"/>
    <n v="0.35"/>
    <s v="Bali &amp; NTT"/>
    <s v="Gilang T."/>
    <n v="1144818"/>
  </r>
  <r>
    <s v="2023-06-26"/>
    <x v="17"/>
    <x v="2"/>
    <s v="API Services"/>
    <n v="14000000"/>
    <n v="7484771"/>
    <n v="6515229"/>
    <n v="0.4653735"/>
    <s v="Excellent"/>
    <n v="0.35"/>
    <s v="Kalimantan"/>
    <s v="Citra W."/>
    <n v="13031254"/>
  </r>
  <r>
    <s v="2023-06-26"/>
    <x v="17"/>
    <x v="0"/>
    <s v="Bundle"/>
    <n v="9100000"/>
    <n v="5415578"/>
    <n v="3684422"/>
    <n v="0.40488153846153846"/>
    <s v="Excellent"/>
    <n v="0.25"/>
    <s v="Kalimantan"/>
    <s v="Dian P."/>
    <n v="10694419"/>
  </r>
  <r>
    <s v="2023-06-27"/>
    <x v="17"/>
    <x v="0"/>
    <s v="Bundle"/>
    <n v="4600000"/>
    <n v="2452439"/>
    <n v="2147561"/>
    <n v="0.46686108695652173"/>
    <s v="Excellent"/>
    <n v="0.25"/>
    <s v="Bali &amp; NTT"/>
    <s v="Citra W."/>
    <n v="4252238"/>
  </r>
  <r>
    <s v="2023-06-28"/>
    <x v="17"/>
    <x v="0"/>
    <s v="Bundle"/>
    <n v="15600000"/>
    <n v="7848608"/>
    <n v="7751392"/>
    <n v="0.49688410256410254"/>
    <s v="Excellent"/>
    <n v="0.25"/>
    <s v="Sulawesi"/>
    <s v="Andi S."/>
    <n v="17255351"/>
  </r>
  <r>
    <s v="2023-06-28"/>
    <x v="17"/>
    <x v="1"/>
    <s v="Training"/>
    <n v="5000000"/>
    <n v="1808697"/>
    <n v="3191303"/>
    <n v="0.63826059999999996"/>
    <s v="Excellent"/>
    <n v="0.4"/>
    <s v="Sulawesi"/>
    <s v="Eko F."/>
    <n v="6301271"/>
  </r>
  <r>
    <s v="2023-06-30"/>
    <x v="17"/>
    <x v="0"/>
    <s v="Bundle"/>
    <n v="6300000"/>
    <n v="3297569"/>
    <n v="3002431"/>
    <n v="0.47657634920634923"/>
    <s v="Excellent"/>
    <n v="0.25"/>
    <s v="Sumatera"/>
    <s v="Fani A."/>
    <n v="8181100"/>
  </r>
  <r>
    <s v="2023-06-30"/>
    <x v="17"/>
    <x v="2"/>
    <s v="API Services"/>
    <n v="11200000"/>
    <n v="4223868"/>
    <n v="6976132"/>
    <n v="0.62286892857142862"/>
    <s v="Excellent"/>
    <n v="0.35"/>
    <s v="Sumatera"/>
    <s v="Budi R."/>
    <n v="13240738"/>
  </r>
  <r>
    <s v="2023-06-30"/>
    <x v="17"/>
    <x v="2"/>
    <s v="Subscription"/>
    <n v="10800000"/>
    <n v="5180439"/>
    <n v="5619561"/>
    <n v="0.52032972222222218"/>
    <s v="Excellent"/>
    <n v="0.35"/>
    <s v="Sulawesi"/>
    <s v="Citra W."/>
    <n v="9110296"/>
  </r>
  <r>
    <s v="2023-07-02"/>
    <x v="18"/>
    <x v="2"/>
    <s v="Software"/>
    <n v="19900000"/>
    <n v="7563208"/>
    <n v="12336792"/>
    <n v="0.61993929648241208"/>
    <s v="Excellent"/>
    <n v="0.35"/>
    <s v="Kalimantan"/>
    <s v="Dian P."/>
    <n v="25340691"/>
  </r>
  <r>
    <s v="2023-07-03"/>
    <x v="18"/>
    <x v="0"/>
    <s v="Hardware"/>
    <n v="15900000"/>
    <n v="6470602"/>
    <n v="9429398"/>
    <n v="0.59304389937106916"/>
    <s v="Excellent"/>
    <n v="0.25"/>
    <s v="Bali &amp; NTT"/>
    <s v="Dian P."/>
    <n v="15489325"/>
  </r>
  <r>
    <s v="2023-07-03"/>
    <x v="18"/>
    <x v="1"/>
    <s v="Training"/>
    <n v="8300000"/>
    <n v="4679911"/>
    <n v="3620089"/>
    <n v="0.43615530120481927"/>
    <s v="Excellent"/>
    <n v="0.4"/>
    <s v="Sulawesi"/>
    <s v="Gilang T."/>
    <n v="8590134"/>
  </r>
  <r>
    <s v="2023-07-06"/>
    <x v="18"/>
    <x v="2"/>
    <s v="Subscription"/>
    <n v="18100000"/>
    <n v="8991739"/>
    <n v="9108261"/>
    <n v="0.5032188397790055"/>
    <s v="Excellent"/>
    <n v="0.35"/>
    <s v="Sulawesi"/>
    <s v="Andi S."/>
    <n v="22449753"/>
  </r>
  <r>
    <s v="2023-07-06"/>
    <x v="18"/>
    <x v="2"/>
    <s v="Software"/>
    <n v="6600000"/>
    <n v="3808202"/>
    <n v="2791798"/>
    <n v="0.42299969696969697"/>
    <s v="Excellent"/>
    <n v="0.35"/>
    <s v="Bali &amp; NTT"/>
    <s v="Budi R."/>
    <n v="6957772"/>
  </r>
  <r>
    <s v="2023-07-07"/>
    <x v="18"/>
    <x v="0"/>
    <s v="Aksesoris"/>
    <n v="8300000"/>
    <n v="4487337"/>
    <n v="3812663"/>
    <n v="0.45935698795180724"/>
    <s v="Excellent"/>
    <n v="0.25"/>
    <s v="Jawa"/>
    <s v="Eko F."/>
    <n v="7180884"/>
  </r>
  <r>
    <s v="2023-07-08"/>
    <x v="18"/>
    <x v="1"/>
    <s v="Training"/>
    <n v="5600000"/>
    <n v="2349789"/>
    <n v="3250211"/>
    <n v="0.58039482142857146"/>
    <s v="Excellent"/>
    <n v="0.4"/>
    <s v="Sulawesi"/>
    <s v="Eko F."/>
    <n v="7165358"/>
  </r>
  <r>
    <s v="2023-07-08"/>
    <x v="18"/>
    <x v="1"/>
    <s v="Support"/>
    <n v="4500000"/>
    <n v="2532485"/>
    <n v="1967515"/>
    <n v="0.43722555555555553"/>
    <s v="Excellent"/>
    <n v="0.4"/>
    <s v="Sumatera"/>
    <s v="Gilang T."/>
    <n v="4890808"/>
  </r>
  <r>
    <s v="2023-07-08"/>
    <x v="18"/>
    <x v="0"/>
    <s v="Aksesoris"/>
    <n v="2800000"/>
    <n v="1634061"/>
    <n v="1165939"/>
    <n v="0.41640678571428569"/>
    <s v="Excellent"/>
    <n v="0.25"/>
    <s v="Sumatera"/>
    <s v="Andi S."/>
    <n v="3351025"/>
  </r>
  <r>
    <s v="2023-07-09"/>
    <x v="18"/>
    <x v="1"/>
    <s v="Support"/>
    <n v="12100000"/>
    <n v="4699871"/>
    <n v="7400129"/>
    <n v="0.61158090909090912"/>
    <s v="Excellent"/>
    <n v="0.4"/>
    <s v="Kalimantan"/>
    <s v="Eko F."/>
    <n v="15005372"/>
  </r>
  <r>
    <s v="2023-07-09"/>
    <x v="18"/>
    <x v="1"/>
    <s v="Training"/>
    <n v="19200000"/>
    <n v="9543941"/>
    <n v="9656059"/>
    <n v="0.50291973958333336"/>
    <s v="Excellent"/>
    <n v="0.4"/>
    <s v="Kalimantan"/>
    <s v="Eko F."/>
    <n v="24619539"/>
  </r>
  <r>
    <s v="2023-07-12"/>
    <x v="18"/>
    <x v="2"/>
    <s v="API Services"/>
    <n v="5500000"/>
    <n v="2256507"/>
    <n v="3243493"/>
    <n v="0.58972599999999997"/>
    <s v="Excellent"/>
    <n v="0.35"/>
    <s v="Sumatera"/>
    <s v="Hani M."/>
    <n v="4651401"/>
  </r>
  <r>
    <s v="2023-07-13"/>
    <x v="18"/>
    <x v="2"/>
    <s v="API Services"/>
    <n v="11100000"/>
    <n v="5666046"/>
    <n v="5433954"/>
    <n v="0.48954540540540542"/>
    <s v="Excellent"/>
    <n v="0.35"/>
    <s v="Sumatera"/>
    <s v="Budi R."/>
    <n v="11077745"/>
  </r>
  <r>
    <s v="2023-07-14"/>
    <x v="18"/>
    <x v="1"/>
    <s v="Konsultasi"/>
    <n v="7700000"/>
    <n v="3311609"/>
    <n v="4388391"/>
    <n v="0.56992090909090909"/>
    <s v="Excellent"/>
    <n v="0.4"/>
    <s v="Sumatera"/>
    <s v="Eko F."/>
    <n v="7884432"/>
  </r>
  <r>
    <s v="2023-07-14"/>
    <x v="18"/>
    <x v="2"/>
    <s v="Software"/>
    <n v="3700000"/>
    <n v="2120263"/>
    <n v="1579737"/>
    <n v="0.42695594594594594"/>
    <s v="Excellent"/>
    <n v="0.35"/>
    <s v="Kalimantan"/>
    <s v="Andi S."/>
    <n v="3029908"/>
  </r>
  <r>
    <s v="2023-07-14"/>
    <x v="18"/>
    <x v="0"/>
    <s v="Bundle"/>
    <n v="17400000"/>
    <n v="8432056"/>
    <n v="8967944"/>
    <n v="0.51539908045977012"/>
    <s v="Excellent"/>
    <n v="0.25"/>
    <s v="Sumatera"/>
    <s v="Gilang T."/>
    <n v="20921467"/>
  </r>
  <r>
    <s v="2023-07-15"/>
    <x v="18"/>
    <x v="1"/>
    <s v="Training"/>
    <n v="5800000"/>
    <n v="2030822"/>
    <n v="3769178"/>
    <n v="0.64985827586206901"/>
    <s v="Excellent"/>
    <n v="0.4"/>
    <s v="Jawa"/>
    <s v="Eko F."/>
    <n v="4832061"/>
  </r>
  <r>
    <s v="2023-07-15"/>
    <x v="18"/>
    <x v="2"/>
    <s v="Software"/>
    <n v="11500000"/>
    <n v="4631646"/>
    <n v="6868354"/>
    <n v="0.59724817391304352"/>
    <s v="Excellent"/>
    <n v="0.35"/>
    <s v="Sumatera"/>
    <s v="Eko F."/>
    <n v="13034573"/>
  </r>
  <r>
    <s v="2023-07-15"/>
    <x v="18"/>
    <x v="0"/>
    <s v="Aksesoris"/>
    <n v="6800000"/>
    <n v="3256627"/>
    <n v="3543373"/>
    <n v="0.52108426470588232"/>
    <s v="Excellent"/>
    <n v="0.25"/>
    <s v="Sumatera"/>
    <s v="Budi R."/>
    <n v="6725498"/>
  </r>
  <r>
    <s v="2023-07-18"/>
    <x v="18"/>
    <x v="1"/>
    <s v="Training"/>
    <n v="3700000"/>
    <n v="2102808"/>
    <n v="1597192"/>
    <n v="0.43167351351351352"/>
    <s v="Excellent"/>
    <n v="0.4"/>
    <s v="Sulawesi"/>
    <s v="Budi R."/>
    <n v="3528006"/>
  </r>
  <r>
    <s v="2023-07-18"/>
    <x v="18"/>
    <x v="1"/>
    <s v="Support"/>
    <n v="10800000"/>
    <n v="6179740"/>
    <n v="4620260"/>
    <n v="0.42780185185185188"/>
    <s v="Excellent"/>
    <n v="0.4"/>
    <s v="Bali &amp; NTT"/>
    <s v="Fani A."/>
    <n v="11159749"/>
  </r>
  <r>
    <s v="2023-07-19"/>
    <x v="18"/>
    <x v="2"/>
    <s v="Software"/>
    <n v="16400000"/>
    <n v="5783779"/>
    <n v="10616221"/>
    <n v="0.64733054878048779"/>
    <s v="Excellent"/>
    <n v="0.35"/>
    <s v="Kalimantan"/>
    <s v="Gilang T."/>
    <n v="17823951"/>
  </r>
  <r>
    <s v="2023-07-20"/>
    <x v="18"/>
    <x v="2"/>
    <s v="Subscription"/>
    <n v="7700000"/>
    <n v="3208344"/>
    <n v="4491656"/>
    <n v="0.5833319480519481"/>
    <s v="Excellent"/>
    <n v="0.35"/>
    <s v="Jawa"/>
    <s v="Fani A."/>
    <n v="9676425"/>
  </r>
  <r>
    <s v="2023-07-24"/>
    <x v="18"/>
    <x v="1"/>
    <s v="Support"/>
    <n v="5400000"/>
    <n v="2446636"/>
    <n v="2953364"/>
    <n v="0.54691925925925922"/>
    <s v="Excellent"/>
    <n v="0.4"/>
    <s v="Bali &amp; NTT"/>
    <s v="Gilang T."/>
    <n v="6609342"/>
  </r>
  <r>
    <s v="2023-07-25"/>
    <x v="18"/>
    <x v="2"/>
    <s v="Software"/>
    <n v="14500000"/>
    <n v="8570139"/>
    <n v="5929861"/>
    <n v="0.40895593103448274"/>
    <s v="Excellent"/>
    <n v="0.35"/>
    <s v="Jawa"/>
    <s v="Gilang T."/>
    <n v="12011170"/>
  </r>
  <r>
    <s v="2023-07-25"/>
    <x v="18"/>
    <x v="0"/>
    <s v="Aksesoris"/>
    <n v="2200000"/>
    <n v="1303975"/>
    <n v="896025"/>
    <n v="0.4072840909090909"/>
    <s v="Excellent"/>
    <n v="0.25"/>
    <s v="Bali &amp; NTT"/>
    <s v="Gilang T."/>
    <n v="2481888"/>
  </r>
  <r>
    <s v="2023-07-25"/>
    <x v="18"/>
    <x v="1"/>
    <s v="Support"/>
    <n v="17900000"/>
    <n v="7466615"/>
    <n v="10433385"/>
    <n v="0.58287067039106144"/>
    <s v="Excellent"/>
    <n v="0.4"/>
    <s v="Bali &amp; NTT"/>
    <s v="Eko F."/>
    <n v="18168151"/>
  </r>
  <r>
    <s v="2023-07-25"/>
    <x v="18"/>
    <x v="1"/>
    <s v="Training"/>
    <n v="11500000"/>
    <n v="5455322"/>
    <n v="6044678"/>
    <n v="0.5256241739130435"/>
    <s v="Excellent"/>
    <n v="0.4"/>
    <s v="Sulawesi"/>
    <s v="Eko F."/>
    <n v="9487513"/>
  </r>
  <r>
    <s v="2023-07-26"/>
    <x v="18"/>
    <x v="1"/>
    <s v="Support"/>
    <n v="8700000"/>
    <n v="4656032"/>
    <n v="4043968"/>
    <n v="0.46482390804597701"/>
    <s v="Excellent"/>
    <n v="0.4"/>
    <s v="Sumatera"/>
    <s v="Hani M."/>
    <n v="10236938"/>
  </r>
  <r>
    <s v="2023-07-26"/>
    <x v="18"/>
    <x v="0"/>
    <s v="Hardware"/>
    <n v="10600000"/>
    <n v="5406634"/>
    <n v="5193366"/>
    <n v="0.48994018867924527"/>
    <s v="Excellent"/>
    <n v="0.25"/>
    <s v="Sulawesi"/>
    <s v="Andi S."/>
    <n v="10903061"/>
  </r>
  <r>
    <s v="2023-07-28"/>
    <x v="18"/>
    <x v="1"/>
    <s v="Konsultasi"/>
    <n v="10600000"/>
    <n v="5348948"/>
    <n v="5251052"/>
    <n v="0.49538226415094339"/>
    <s v="Excellent"/>
    <n v="0.4"/>
    <s v="Jawa"/>
    <s v="Budi R."/>
    <n v="8882457"/>
  </r>
  <r>
    <s v="2023-07-29"/>
    <x v="18"/>
    <x v="1"/>
    <s v="Training"/>
    <n v="5000000"/>
    <n v="2431329"/>
    <n v="2568671"/>
    <n v="0.51373420000000003"/>
    <s v="Excellent"/>
    <n v="0.4"/>
    <s v="Sulawesi"/>
    <s v="Budi R."/>
    <n v="4500642"/>
  </r>
  <r>
    <s v="2023-07-29"/>
    <x v="18"/>
    <x v="2"/>
    <s v="Subscription"/>
    <n v="5500000"/>
    <n v="3299668"/>
    <n v="2200332"/>
    <n v="0.40006036363636366"/>
    <s v="Excellent"/>
    <n v="0.35"/>
    <s v="Sumatera"/>
    <s v="Gilang T."/>
    <n v="6610046"/>
  </r>
  <r>
    <s v="2023-07-30"/>
    <x v="18"/>
    <x v="0"/>
    <s v="Aksesoris"/>
    <n v="3000000"/>
    <n v="1554008"/>
    <n v="1445992"/>
    <n v="0.48199733333333333"/>
    <s v="Excellent"/>
    <n v="0.25"/>
    <s v="Sumatera"/>
    <s v="Dian P."/>
    <n v="3428506"/>
  </r>
  <r>
    <s v="2023-07-31"/>
    <x v="18"/>
    <x v="1"/>
    <s v="Support"/>
    <n v="16600000"/>
    <n v="8700217"/>
    <n v="7899783"/>
    <n v="0.47589054216867471"/>
    <s v="Excellent"/>
    <n v="0.4"/>
    <s v="Kalimantan"/>
    <s v="Dian P."/>
    <n v="18045601"/>
  </r>
  <r>
    <s v="2023-08-02"/>
    <x v="19"/>
    <x v="0"/>
    <s v="Hardware"/>
    <n v="900000"/>
    <n v="415592"/>
    <n v="484408"/>
    <n v="0.5382311111111111"/>
    <s v="Excellent"/>
    <n v="0.25"/>
    <s v="Sumatera"/>
    <s v="Fani A."/>
    <n v="907650"/>
  </r>
  <r>
    <s v="2023-08-03"/>
    <x v="19"/>
    <x v="1"/>
    <s v="Konsultasi"/>
    <n v="13500000"/>
    <n v="4913524"/>
    <n v="8586476"/>
    <n v="0.6360352592592593"/>
    <s v="Excellent"/>
    <n v="0.4"/>
    <s v="Sumatera"/>
    <s v="Hani M."/>
    <n v="15641574"/>
  </r>
  <r>
    <s v="2023-08-03"/>
    <x v="19"/>
    <x v="2"/>
    <s v="Software"/>
    <n v="16500000"/>
    <n v="8882831"/>
    <n v="7617169"/>
    <n v="0.46164660606060604"/>
    <s v="Excellent"/>
    <n v="0.35"/>
    <s v="Kalimantan"/>
    <s v="Dian P."/>
    <n v="20128110"/>
  </r>
  <r>
    <s v="2023-08-04"/>
    <x v="19"/>
    <x v="0"/>
    <s v="Hardware"/>
    <n v="13500000"/>
    <n v="4805367"/>
    <n v="8694633"/>
    <n v="0.64404688888888884"/>
    <s v="Excellent"/>
    <n v="0.25"/>
    <s v="Sumatera"/>
    <s v="Fani A."/>
    <n v="10883432"/>
  </r>
  <r>
    <s v="2023-08-04"/>
    <x v="19"/>
    <x v="1"/>
    <s v="Konsultasi"/>
    <n v="600000"/>
    <n v="340376"/>
    <n v="259624"/>
    <n v="0.43270666666666668"/>
    <s v="Excellent"/>
    <n v="0.4"/>
    <s v="Kalimantan"/>
    <s v="Gilang T."/>
    <n v="529253"/>
  </r>
  <r>
    <s v="2023-08-05"/>
    <x v="19"/>
    <x v="0"/>
    <s v="Hardware"/>
    <n v="12800000"/>
    <n v="5098941"/>
    <n v="7701059"/>
    <n v="0.60164523437499995"/>
    <s v="Excellent"/>
    <n v="0.25"/>
    <s v="Kalimantan"/>
    <s v="Gilang T."/>
    <n v="10934183"/>
  </r>
  <r>
    <s v="2023-08-07"/>
    <x v="19"/>
    <x v="1"/>
    <s v="Training"/>
    <n v="4100000"/>
    <n v="2220457"/>
    <n v="1879543"/>
    <n v="0.45842512195121954"/>
    <s v="Excellent"/>
    <n v="0.4"/>
    <s v="Bali &amp; NTT"/>
    <s v="Fani A."/>
    <n v="5289366"/>
  </r>
  <r>
    <s v="2023-08-08"/>
    <x v="19"/>
    <x v="2"/>
    <s v="Subscription"/>
    <n v="15000000"/>
    <n v="6742239"/>
    <n v="8257761"/>
    <n v="0.55051740000000005"/>
    <s v="Excellent"/>
    <n v="0.35"/>
    <s v="Bali &amp; NTT"/>
    <s v="Andi S."/>
    <n v="15425442"/>
  </r>
  <r>
    <s v="2023-08-08"/>
    <x v="19"/>
    <x v="0"/>
    <s v="Bundle"/>
    <n v="10000000"/>
    <n v="4594169"/>
    <n v="5405831"/>
    <n v="0.54058309999999998"/>
    <s v="Excellent"/>
    <n v="0.25"/>
    <s v="Sumatera"/>
    <s v="Andi S."/>
    <n v="8057670"/>
  </r>
  <r>
    <s v="2023-08-10"/>
    <x v="19"/>
    <x v="0"/>
    <s v="Aksesoris"/>
    <n v="10900000"/>
    <n v="5532711"/>
    <n v="5367289"/>
    <n v="0.49241183486238532"/>
    <s v="Excellent"/>
    <n v="0.25"/>
    <s v="Sumatera"/>
    <s v="Andi S."/>
    <n v="13752864"/>
  </r>
  <r>
    <s v="2023-08-11"/>
    <x v="19"/>
    <x v="1"/>
    <s v="Support"/>
    <n v="10400000"/>
    <n v="5732776"/>
    <n v="4667224"/>
    <n v="0.44877153846153844"/>
    <s v="Excellent"/>
    <n v="0.4"/>
    <s v="Sulawesi"/>
    <s v="Citra W."/>
    <n v="10302711"/>
  </r>
  <r>
    <s v="2023-08-14"/>
    <x v="19"/>
    <x v="0"/>
    <s v="Bundle"/>
    <n v="10900000"/>
    <n v="5689257"/>
    <n v="5210743"/>
    <n v="0.47804981651376149"/>
    <s v="Excellent"/>
    <n v="0.25"/>
    <s v="Sumatera"/>
    <s v="Hani M."/>
    <n v="14104330"/>
  </r>
  <r>
    <s v="2023-08-14"/>
    <x v="19"/>
    <x v="1"/>
    <s v="Support"/>
    <n v="19400000"/>
    <n v="8393409"/>
    <n v="11006591"/>
    <n v="0.56735005154639173"/>
    <s v="Excellent"/>
    <n v="0.4"/>
    <s v="Bali &amp; NTT"/>
    <s v="Citra W."/>
    <n v="21969932"/>
  </r>
  <r>
    <s v="2023-08-15"/>
    <x v="19"/>
    <x v="0"/>
    <s v="Bundle"/>
    <n v="5400000"/>
    <n v="3107505"/>
    <n v="2292495"/>
    <n v="0.42453611111111111"/>
    <s v="Excellent"/>
    <n v="0.25"/>
    <s v="Bali &amp; NTT"/>
    <s v="Dian P."/>
    <n v="6926779"/>
  </r>
  <r>
    <s v="2023-08-16"/>
    <x v="19"/>
    <x v="0"/>
    <s v="Hardware"/>
    <n v="4100000"/>
    <n v="2320725"/>
    <n v="1779275"/>
    <n v="0.43396951219512198"/>
    <s v="Excellent"/>
    <n v="0.25"/>
    <s v="Jawa"/>
    <s v="Budi R."/>
    <n v="3882733"/>
  </r>
  <r>
    <s v="2023-08-17"/>
    <x v="19"/>
    <x v="2"/>
    <s v="API Services"/>
    <n v="10900000"/>
    <n v="4564966"/>
    <n v="6335034"/>
    <n v="0.58119577981651371"/>
    <s v="Excellent"/>
    <n v="0.35"/>
    <s v="Jawa"/>
    <s v="Dian P."/>
    <n v="11699579"/>
  </r>
  <r>
    <s v="2023-08-18"/>
    <x v="19"/>
    <x v="2"/>
    <s v="API Services"/>
    <n v="17400000"/>
    <n v="8492762"/>
    <n v="8907238"/>
    <n v="0.51191022988505752"/>
    <s v="Excellent"/>
    <n v="0.35"/>
    <s v="Sumatera"/>
    <s v="Gilang T."/>
    <n v="20703170"/>
  </r>
  <r>
    <s v="2023-08-20"/>
    <x v="19"/>
    <x v="2"/>
    <s v="Software"/>
    <n v="16200000"/>
    <n v="5670863"/>
    <n v="10529137"/>
    <n v="0.64994672839506173"/>
    <s v="Excellent"/>
    <n v="0.35"/>
    <s v="Sumatera"/>
    <s v="Gilang T."/>
    <n v="20432664"/>
  </r>
  <r>
    <s v="2023-08-20"/>
    <x v="19"/>
    <x v="2"/>
    <s v="Software"/>
    <n v="1700000"/>
    <n v="712518"/>
    <n v="987482"/>
    <n v="0.58087176470588231"/>
    <s v="Excellent"/>
    <n v="0.35"/>
    <s v="Bali &amp; NTT"/>
    <s v="Budi R."/>
    <n v="2075247"/>
  </r>
  <r>
    <s v="2023-08-20"/>
    <x v="19"/>
    <x v="2"/>
    <s v="Subscription"/>
    <n v="19800000"/>
    <n v="9889359"/>
    <n v="9910641"/>
    <n v="0.5005374242424242"/>
    <s v="Excellent"/>
    <n v="0.35"/>
    <s v="Sulawesi"/>
    <s v="Gilang T."/>
    <n v="21510595"/>
  </r>
  <r>
    <s v="2023-08-20"/>
    <x v="19"/>
    <x v="0"/>
    <s v="Bundle"/>
    <n v="11000000"/>
    <n v="5574188"/>
    <n v="5425812"/>
    <n v="0.49325563636363634"/>
    <s v="Excellent"/>
    <n v="0.25"/>
    <s v="Kalimantan"/>
    <s v="Dian P."/>
    <n v="9076645"/>
  </r>
  <r>
    <s v="2023-08-20"/>
    <x v="19"/>
    <x v="1"/>
    <s v="Konsultasi"/>
    <n v="16100000"/>
    <n v="7430423"/>
    <n v="8669577"/>
    <n v="0.53848304347826081"/>
    <s v="Excellent"/>
    <n v="0.4"/>
    <s v="Kalimantan"/>
    <s v="Citra W."/>
    <n v="12998016"/>
  </r>
  <r>
    <s v="2023-08-24"/>
    <x v="19"/>
    <x v="2"/>
    <s v="Subscription"/>
    <n v="900000"/>
    <n v="342880"/>
    <n v="557120"/>
    <n v="0.61902222222222225"/>
    <s v="Excellent"/>
    <n v="0.35"/>
    <s v="Bali &amp; NTT"/>
    <s v="Hani M."/>
    <n v="1110481"/>
  </r>
  <r>
    <s v="2023-08-24"/>
    <x v="19"/>
    <x v="0"/>
    <s v="Aksesoris"/>
    <n v="8200000"/>
    <n v="4190712"/>
    <n v="4009288"/>
    <n v="0.48893756097560975"/>
    <s v="Excellent"/>
    <n v="0.25"/>
    <s v="Kalimantan"/>
    <s v="Hani M."/>
    <n v="8402306"/>
  </r>
  <r>
    <s v="2023-08-24"/>
    <x v="19"/>
    <x v="2"/>
    <s v="Subscription"/>
    <n v="5400000"/>
    <n v="2120310"/>
    <n v="3279690"/>
    <n v="0.60734999999999995"/>
    <s v="Excellent"/>
    <n v="0.35"/>
    <s v="Sumatera"/>
    <s v="Citra W."/>
    <n v="6271975"/>
  </r>
  <r>
    <s v="2023-08-25"/>
    <x v="19"/>
    <x v="0"/>
    <s v="Hardware"/>
    <n v="7600000"/>
    <n v="3881736"/>
    <n v="3718264"/>
    <n v="0.48924526315789474"/>
    <s v="Excellent"/>
    <n v="0.25"/>
    <s v="Sumatera"/>
    <s v="Budi R."/>
    <n v="9461245"/>
  </r>
  <r>
    <s v="2023-08-26"/>
    <x v="19"/>
    <x v="0"/>
    <s v="Bundle"/>
    <n v="17900000"/>
    <n v="8974643"/>
    <n v="8925357"/>
    <n v="0.49862329608938549"/>
    <s v="Excellent"/>
    <n v="0.25"/>
    <s v="Bali &amp; NTT"/>
    <s v="Eko F."/>
    <n v="22905700"/>
  </r>
  <r>
    <s v="2023-08-27"/>
    <x v="19"/>
    <x v="0"/>
    <s v="Bundle"/>
    <n v="15800000"/>
    <n v="8775761"/>
    <n v="7024239"/>
    <n v="0.44457208860759495"/>
    <s v="Excellent"/>
    <n v="0.25"/>
    <s v="Sulawesi"/>
    <s v="Hani M."/>
    <n v="19981162"/>
  </r>
  <r>
    <s v="2023-08-28"/>
    <x v="19"/>
    <x v="0"/>
    <s v="Bundle"/>
    <n v="17800000"/>
    <n v="6882424"/>
    <n v="10917576"/>
    <n v="0.61334696629213481"/>
    <s v="Excellent"/>
    <n v="0.25"/>
    <s v="Jawa"/>
    <s v="Gilang T."/>
    <n v="20122175"/>
  </r>
  <r>
    <s v="2023-08-29"/>
    <x v="19"/>
    <x v="0"/>
    <s v="Bundle"/>
    <n v="7300000"/>
    <n v="2744736"/>
    <n v="4555264"/>
    <n v="0.62400876712328768"/>
    <s v="Excellent"/>
    <n v="0.25"/>
    <s v="Sulawesi"/>
    <s v="Gilang T."/>
    <n v="8690365"/>
  </r>
  <r>
    <s v="2023-08-31"/>
    <x v="19"/>
    <x v="2"/>
    <s v="Software"/>
    <n v="2900000"/>
    <n v="1026882"/>
    <n v="1873118"/>
    <n v="0.64590275862068969"/>
    <s v="Excellent"/>
    <n v="0.35"/>
    <s v="Kalimantan"/>
    <s v="Fani A."/>
    <n v="3004817"/>
  </r>
  <r>
    <s v="2023-08-31"/>
    <x v="19"/>
    <x v="0"/>
    <s v="Hardware"/>
    <n v="3000000"/>
    <n v="1111571"/>
    <n v="1888429"/>
    <n v="0.6294763333333333"/>
    <s v="Excellent"/>
    <n v="0.25"/>
    <s v="Jawa"/>
    <s v="Citra W."/>
    <n v="3594291"/>
  </r>
  <r>
    <s v="2023-08-31"/>
    <x v="19"/>
    <x v="2"/>
    <s v="Subscription"/>
    <n v="13100000"/>
    <n v="6397991"/>
    <n v="6702009"/>
    <n v="0.51160374045801527"/>
    <s v="Excellent"/>
    <n v="0.35"/>
    <s v="Kalimantan"/>
    <s v="Budi R."/>
    <n v="14093009"/>
  </r>
  <r>
    <s v="2023-09-06"/>
    <x v="20"/>
    <x v="2"/>
    <s v="API Services"/>
    <n v="17600000"/>
    <n v="7296015"/>
    <n v="10303985"/>
    <n v="0.58545369318181817"/>
    <s v="Excellent"/>
    <n v="0.35"/>
    <s v="Bali &amp; NTT"/>
    <s v="Eko F."/>
    <n v="22195164"/>
  </r>
  <r>
    <s v="2023-09-06"/>
    <x v="20"/>
    <x v="2"/>
    <s v="API Services"/>
    <n v="7700000"/>
    <n v="3351612"/>
    <n v="4348388"/>
    <n v="0.56472571428571428"/>
    <s v="Excellent"/>
    <n v="0.35"/>
    <s v="Sumatera"/>
    <s v="Fani A."/>
    <n v="7597415"/>
  </r>
  <r>
    <s v="2023-09-06"/>
    <x v="20"/>
    <x v="1"/>
    <s v="Training"/>
    <n v="13200000"/>
    <n v="7171227"/>
    <n v="6028773"/>
    <n v="0.4567252272727273"/>
    <s v="Excellent"/>
    <n v="0.4"/>
    <s v="Jawa"/>
    <s v="Gilang T."/>
    <n v="13416094"/>
  </r>
  <r>
    <s v="2023-09-07"/>
    <x v="20"/>
    <x v="0"/>
    <s v="Aksesoris"/>
    <n v="2100000"/>
    <n v="1259182"/>
    <n v="840818"/>
    <n v="0.40038952380952381"/>
    <s v="Excellent"/>
    <n v="0.25"/>
    <s v="Sulawesi"/>
    <s v="Dian P."/>
    <n v="1802623"/>
  </r>
  <r>
    <s v="2023-09-09"/>
    <x v="20"/>
    <x v="1"/>
    <s v="Konsultasi"/>
    <n v="11300000"/>
    <n v="4017304"/>
    <n v="7282696"/>
    <n v="0.64448637168141598"/>
    <s v="Excellent"/>
    <n v="0.4"/>
    <s v="Jawa"/>
    <s v="Eko F."/>
    <n v="13746566"/>
  </r>
  <r>
    <s v="2023-09-10"/>
    <x v="20"/>
    <x v="0"/>
    <s v="Hardware"/>
    <n v="16400000"/>
    <n v="9393295"/>
    <n v="7006705"/>
    <n v="0.42723810975609755"/>
    <s v="Excellent"/>
    <n v="0.25"/>
    <s v="Sumatera"/>
    <s v="Fani A."/>
    <n v="16545457"/>
  </r>
  <r>
    <s v="2023-09-12"/>
    <x v="20"/>
    <x v="1"/>
    <s v="Konsultasi"/>
    <n v="12500000"/>
    <n v="5275198"/>
    <n v="7224802"/>
    <n v="0.57798415999999997"/>
    <s v="Excellent"/>
    <n v="0.4"/>
    <s v="Jawa"/>
    <s v="Hani M."/>
    <n v="14225995"/>
  </r>
  <r>
    <s v="2023-09-12"/>
    <x v="20"/>
    <x v="1"/>
    <s v="Support"/>
    <n v="6300000"/>
    <n v="3248143"/>
    <n v="3051857"/>
    <n v="0.48442174603174604"/>
    <s v="Excellent"/>
    <n v="0.4"/>
    <s v="Bali &amp; NTT"/>
    <s v="Eko F."/>
    <n v="6748189"/>
  </r>
  <r>
    <s v="2023-09-12"/>
    <x v="20"/>
    <x v="0"/>
    <s v="Bundle"/>
    <n v="16800000"/>
    <n v="7068767"/>
    <n v="9731233"/>
    <n v="0.57924005952380953"/>
    <s v="Excellent"/>
    <n v="0.25"/>
    <s v="Sulawesi"/>
    <s v="Dian P."/>
    <n v="18562528"/>
  </r>
  <r>
    <s v="2023-09-13"/>
    <x v="20"/>
    <x v="1"/>
    <s v="Support"/>
    <n v="19600000"/>
    <n v="8845473"/>
    <n v="10754527"/>
    <n v="0.54870035714285714"/>
    <s v="Excellent"/>
    <n v="0.4"/>
    <s v="Sulawesi"/>
    <s v="Citra W."/>
    <n v="18144012"/>
  </r>
  <r>
    <s v="2023-09-14"/>
    <x v="20"/>
    <x v="1"/>
    <s v="Support"/>
    <n v="10200000"/>
    <n v="3677358"/>
    <n v="6522642"/>
    <n v="0.63947470588235289"/>
    <s v="Excellent"/>
    <n v="0.4"/>
    <s v="Jawa"/>
    <s v="Budi R."/>
    <n v="8709768"/>
  </r>
  <r>
    <s v="2023-09-14"/>
    <x v="20"/>
    <x v="1"/>
    <s v="Training"/>
    <n v="13700000"/>
    <n v="6519352"/>
    <n v="7180648"/>
    <n v="0.52413489051094886"/>
    <s v="Excellent"/>
    <n v="0.4"/>
    <s v="Sulawesi"/>
    <s v="Fani A."/>
    <n v="16875817"/>
  </r>
  <r>
    <s v="2023-09-18"/>
    <x v="20"/>
    <x v="1"/>
    <s v="Support"/>
    <n v="19300000"/>
    <n v="9785513"/>
    <n v="9514487"/>
    <n v="0.49297860103626945"/>
    <s v="Excellent"/>
    <n v="0.4"/>
    <s v="Jawa"/>
    <s v="Budi R."/>
    <n v="15780660"/>
  </r>
  <r>
    <s v="2023-09-21"/>
    <x v="20"/>
    <x v="0"/>
    <s v="Hardware"/>
    <n v="700000"/>
    <n v="364669"/>
    <n v="335331"/>
    <n v="0.4790442857142857"/>
    <s v="Excellent"/>
    <n v="0.25"/>
    <s v="Jawa"/>
    <s v="Hani M."/>
    <n v="767700"/>
  </r>
  <r>
    <s v="2023-09-22"/>
    <x v="20"/>
    <x v="0"/>
    <s v="Aksesoris"/>
    <n v="500000"/>
    <n v="188074"/>
    <n v="311926"/>
    <n v="0.62385199999999996"/>
    <s v="Excellent"/>
    <n v="0.25"/>
    <s v="Bali &amp; NTT"/>
    <s v="Dian P."/>
    <n v="592892"/>
  </r>
  <r>
    <s v="2023-09-23"/>
    <x v="20"/>
    <x v="1"/>
    <s v="Support"/>
    <n v="1700000"/>
    <n v="701416"/>
    <n v="998584"/>
    <n v="0.58740235294117649"/>
    <s v="Excellent"/>
    <n v="0.4"/>
    <s v="Kalimantan"/>
    <s v="Hani M."/>
    <n v="1806465"/>
  </r>
  <r>
    <s v="2023-09-23"/>
    <x v="20"/>
    <x v="0"/>
    <s v="Aksesoris"/>
    <n v="10200000"/>
    <n v="5559632"/>
    <n v="4640368"/>
    <n v="0.45493803921568626"/>
    <s v="Excellent"/>
    <n v="0.25"/>
    <s v="Jawa"/>
    <s v="Hani M."/>
    <n v="13073970"/>
  </r>
  <r>
    <s v="2023-09-24"/>
    <x v="20"/>
    <x v="2"/>
    <s v="Software"/>
    <n v="1200000"/>
    <n v="605783"/>
    <n v="594217"/>
    <n v="0.49518083333333335"/>
    <s v="Excellent"/>
    <n v="0.35"/>
    <s v="Kalimantan"/>
    <s v="Andi S."/>
    <n v="1474299"/>
  </r>
  <r>
    <s v="2023-09-24"/>
    <x v="20"/>
    <x v="2"/>
    <s v="API Services"/>
    <n v="11200000"/>
    <n v="4633997"/>
    <n v="6566003"/>
    <n v="0.58625026785714285"/>
    <s v="Excellent"/>
    <n v="0.35"/>
    <s v="Jawa"/>
    <s v="Budi R."/>
    <n v="12349433"/>
  </r>
  <r>
    <s v="2023-09-25"/>
    <x v="20"/>
    <x v="0"/>
    <s v="Hardware"/>
    <n v="16400000"/>
    <n v="8932316"/>
    <n v="7467684"/>
    <n v="0.45534658536585365"/>
    <s v="Excellent"/>
    <n v="0.25"/>
    <s v="Bali &amp; NTT"/>
    <s v="Citra W."/>
    <n v="20935464"/>
  </r>
  <r>
    <s v="2023-09-26"/>
    <x v="20"/>
    <x v="2"/>
    <s v="API Services"/>
    <n v="17600000"/>
    <n v="9424365"/>
    <n v="8175635"/>
    <n v="0.46452471590909089"/>
    <s v="Excellent"/>
    <n v="0.35"/>
    <s v="Bali &amp; NTT"/>
    <s v="Dian P."/>
    <n v="17445232"/>
  </r>
  <r>
    <s v="2023-09-27"/>
    <x v="20"/>
    <x v="2"/>
    <s v="Subscription"/>
    <n v="12600000"/>
    <n v="6702701"/>
    <n v="5897299"/>
    <n v="0.46803960317460319"/>
    <s v="Excellent"/>
    <n v="0.35"/>
    <s v="Jawa"/>
    <s v="Dian P."/>
    <n v="16068923"/>
  </r>
  <r>
    <s v="2023-09-29"/>
    <x v="20"/>
    <x v="2"/>
    <s v="API Services"/>
    <n v="7200000"/>
    <n v="3042721"/>
    <n v="4157279"/>
    <n v="0.57739986111111108"/>
    <s v="Excellent"/>
    <n v="0.35"/>
    <s v="Jawa"/>
    <s v="Dian P."/>
    <n v="9227264"/>
  </r>
  <r>
    <s v="2023-10-01"/>
    <x v="21"/>
    <x v="0"/>
    <s v="Bundle"/>
    <n v="2100000"/>
    <n v="1141857"/>
    <n v="958143"/>
    <n v="0.4562585714285714"/>
    <s v="Excellent"/>
    <n v="0.25"/>
    <s v="Jawa"/>
    <s v="Gilang T."/>
    <n v="2652430"/>
  </r>
  <r>
    <s v="2023-10-02"/>
    <x v="21"/>
    <x v="2"/>
    <s v="API Services"/>
    <n v="8600000"/>
    <n v="3538980"/>
    <n v="5061020"/>
    <n v="0.58849069767441864"/>
    <s v="Excellent"/>
    <n v="0.35"/>
    <s v="Sulawesi"/>
    <s v="Eko F."/>
    <n v="9189450"/>
  </r>
  <r>
    <s v="2023-10-02"/>
    <x v="21"/>
    <x v="2"/>
    <s v="Software"/>
    <n v="10100000"/>
    <n v="5399198"/>
    <n v="4700802"/>
    <n v="0.4654259405940594"/>
    <s v="Excellent"/>
    <n v="0.35"/>
    <s v="Bali &amp; NTT"/>
    <s v="Dian P."/>
    <n v="12551684"/>
  </r>
  <r>
    <s v="2023-10-03"/>
    <x v="21"/>
    <x v="0"/>
    <s v="Aksesoris"/>
    <n v="1700000"/>
    <n v="1012342"/>
    <n v="687658"/>
    <n v="0.40450470588235293"/>
    <s v="Excellent"/>
    <n v="0.25"/>
    <s v="Bali &amp; NTT"/>
    <s v="Budi R."/>
    <n v="1840608"/>
  </r>
  <r>
    <s v="2023-10-03"/>
    <x v="21"/>
    <x v="1"/>
    <s v="Konsultasi"/>
    <n v="9100000"/>
    <n v="5141144"/>
    <n v="3958856"/>
    <n v="0.43503912087912089"/>
    <s v="Excellent"/>
    <n v="0.4"/>
    <s v="Kalimantan"/>
    <s v="Citra W."/>
    <n v="9902754"/>
  </r>
  <r>
    <s v="2023-10-04"/>
    <x v="21"/>
    <x v="0"/>
    <s v="Aksesoris"/>
    <n v="11600000"/>
    <n v="5153494"/>
    <n v="6446506"/>
    <n v="0.555733275862069"/>
    <s v="Excellent"/>
    <n v="0.25"/>
    <s v="Sulawesi"/>
    <s v="Budi R."/>
    <n v="12124698"/>
  </r>
  <r>
    <s v="2023-10-04"/>
    <x v="21"/>
    <x v="2"/>
    <s v="Software"/>
    <n v="4700000"/>
    <n v="2207140"/>
    <n v="2492860"/>
    <n v="0.53039574468085104"/>
    <s v="Excellent"/>
    <n v="0.35"/>
    <s v="Jawa"/>
    <s v="Gilang T."/>
    <n v="4285776"/>
  </r>
  <r>
    <s v="2023-10-05"/>
    <x v="21"/>
    <x v="1"/>
    <s v="Training"/>
    <n v="19600000"/>
    <n v="8141312"/>
    <n v="11458688"/>
    <n v="0.5846269387755102"/>
    <s v="Excellent"/>
    <n v="0.4"/>
    <s v="Kalimantan"/>
    <s v="Eko F."/>
    <n v="23488613"/>
  </r>
  <r>
    <s v="2023-10-09"/>
    <x v="21"/>
    <x v="2"/>
    <s v="Subscription"/>
    <n v="16600000"/>
    <n v="7099039"/>
    <n v="9500961"/>
    <n v="0.57234704819277105"/>
    <s v="Excellent"/>
    <n v="0.35"/>
    <s v="Bali &amp; NTT"/>
    <s v="Budi R."/>
    <n v="18413385"/>
  </r>
  <r>
    <s v="2023-10-09"/>
    <x v="21"/>
    <x v="0"/>
    <s v="Hardware"/>
    <n v="9500000"/>
    <n v="5572086"/>
    <n v="3927914"/>
    <n v="0.41346463157894736"/>
    <s v="Excellent"/>
    <n v="0.25"/>
    <s v="Kalimantan"/>
    <s v="Andi S."/>
    <n v="9374908"/>
  </r>
  <r>
    <s v="2023-10-10"/>
    <x v="21"/>
    <x v="2"/>
    <s v="Software"/>
    <n v="5100000"/>
    <n v="1803260"/>
    <n v="3296740"/>
    <n v="0.64641960784313723"/>
    <s v="Excellent"/>
    <n v="0.35"/>
    <s v="Sumatera"/>
    <s v="Citra W."/>
    <n v="5698308"/>
  </r>
  <r>
    <s v="2023-10-10"/>
    <x v="21"/>
    <x v="2"/>
    <s v="Subscription"/>
    <n v="9800000"/>
    <n v="3464177"/>
    <n v="6335823"/>
    <n v="0.64651255102040817"/>
    <s v="Excellent"/>
    <n v="0.35"/>
    <s v="Sumatera"/>
    <s v="Citra W."/>
    <n v="11717738"/>
  </r>
  <r>
    <s v="2023-10-11"/>
    <x v="21"/>
    <x v="2"/>
    <s v="API Services"/>
    <n v="4300000"/>
    <n v="1629226"/>
    <n v="2670774"/>
    <n v="0.62111023255813957"/>
    <s v="Excellent"/>
    <n v="0.35"/>
    <s v="Sulawesi"/>
    <s v="Gilang T."/>
    <n v="3778419"/>
  </r>
  <r>
    <s v="2023-10-12"/>
    <x v="21"/>
    <x v="1"/>
    <s v="Konsultasi"/>
    <n v="19300000"/>
    <n v="10422673"/>
    <n v="8877327"/>
    <n v="0.45996512953367874"/>
    <s v="Excellent"/>
    <n v="0.4"/>
    <s v="Kalimantan"/>
    <s v="Fani A."/>
    <n v="19887677"/>
  </r>
  <r>
    <s v="2023-10-15"/>
    <x v="21"/>
    <x v="0"/>
    <s v="Aksesoris"/>
    <n v="900000"/>
    <n v="516536"/>
    <n v="383464"/>
    <n v="0.42607111111111112"/>
    <s v="Excellent"/>
    <n v="0.25"/>
    <s v="Bali &amp; NTT"/>
    <s v="Eko F."/>
    <n v="918292"/>
  </r>
  <r>
    <s v="2023-10-17"/>
    <x v="21"/>
    <x v="2"/>
    <s v="API Services"/>
    <n v="17000000"/>
    <n v="9683232"/>
    <n v="7316768"/>
    <n v="0.43039811764705882"/>
    <s v="Excellent"/>
    <n v="0.35"/>
    <s v="Sumatera"/>
    <s v="Citra W."/>
    <n v="14218359"/>
  </r>
  <r>
    <s v="2023-10-17"/>
    <x v="21"/>
    <x v="2"/>
    <s v="API Services"/>
    <n v="2100000"/>
    <n v="839298"/>
    <n v="1260702"/>
    <n v="0.60033428571428571"/>
    <s v="Excellent"/>
    <n v="0.35"/>
    <s v="Jawa"/>
    <s v="Gilang T."/>
    <n v="2299833"/>
  </r>
  <r>
    <s v="2023-10-18"/>
    <x v="21"/>
    <x v="0"/>
    <s v="Hardware"/>
    <n v="14600000"/>
    <n v="7119905"/>
    <n v="7480095"/>
    <n v="0.5123352739726027"/>
    <s v="Excellent"/>
    <n v="0.25"/>
    <s v="Sumatera"/>
    <s v="Fani A."/>
    <n v="13406119"/>
  </r>
  <r>
    <s v="2023-10-19"/>
    <x v="21"/>
    <x v="0"/>
    <s v="Bundle"/>
    <n v="1700000"/>
    <n v="822074"/>
    <n v="877926"/>
    <n v="0.51642705882352946"/>
    <s v="Excellent"/>
    <n v="0.25"/>
    <s v="Kalimantan"/>
    <s v="Gilang T."/>
    <n v="1400126"/>
  </r>
  <r>
    <s v="2023-10-20"/>
    <x v="21"/>
    <x v="2"/>
    <s v="API Services"/>
    <n v="3700000"/>
    <n v="1382489"/>
    <n v="2317511"/>
    <n v="0.62635432432432436"/>
    <s v="Excellent"/>
    <n v="0.35"/>
    <s v="Jawa"/>
    <s v="Budi R."/>
    <n v="4763912"/>
  </r>
  <r>
    <s v="2023-10-20"/>
    <x v="21"/>
    <x v="0"/>
    <s v="Hardware"/>
    <n v="19600000"/>
    <n v="7917943"/>
    <n v="11682057"/>
    <n v="0.59602331632653061"/>
    <s v="Excellent"/>
    <n v="0.25"/>
    <s v="Sumatera"/>
    <s v="Dian P."/>
    <n v="21184264"/>
  </r>
  <r>
    <s v="2023-10-21"/>
    <x v="21"/>
    <x v="2"/>
    <s v="API Services"/>
    <n v="16500000"/>
    <n v="9043671"/>
    <n v="7456329"/>
    <n v="0.45189872727272729"/>
    <s v="Excellent"/>
    <n v="0.35"/>
    <s v="Kalimantan"/>
    <s v="Andi S."/>
    <n v="16241617"/>
  </r>
  <r>
    <s v="2023-10-21"/>
    <x v="21"/>
    <x v="2"/>
    <s v="Subscription"/>
    <n v="8600000"/>
    <n v="3158871"/>
    <n v="5441129"/>
    <n v="0.63268941860465111"/>
    <s v="Excellent"/>
    <n v="0.35"/>
    <s v="Kalimantan"/>
    <s v="Hani M."/>
    <n v="6903949"/>
  </r>
  <r>
    <s v="2023-10-21"/>
    <x v="21"/>
    <x v="0"/>
    <s v="Hardware"/>
    <n v="19600000"/>
    <n v="6891190"/>
    <n v="12708810"/>
    <n v="0.6484086734693878"/>
    <s v="Excellent"/>
    <n v="0.25"/>
    <s v="Bali &amp; NTT"/>
    <s v="Citra W."/>
    <n v="19269682"/>
  </r>
  <r>
    <s v="2023-10-23"/>
    <x v="21"/>
    <x v="0"/>
    <s v="Aksesoris"/>
    <n v="6100000"/>
    <n v="3639402"/>
    <n v="2460598"/>
    <n v="0.40337672131147539"/>
    <s v="Excellent"/>
    <n v="0.25"/>
    <s v="Sumatera"/>
    <s v="Budi R."/>
    <n v="6562827"/>
  </r>
  <r>
    <s v="2023-10-25"/>
    <x v="21"/>
    <x v="2"/>
    <s v="Subscription"/>
    <n v="9300000"/>
    <n v="4305583"/>
    <n v="4994417"/>
    <n v="0.53703408602150537"/>
    <s v="Excellent"/>
    <n v="0.35"/>
    <s v="Sulawesi"/>
    <s v="Andi S."/>
    <n v="9977469"/>
  </r>
  <r>
    <s v="2023-10-26"/>
    <x v="21"/>
    <x v="2"/>
    <s v="Subscription"/>
    <n v="8800000"/>
    <n v="5229950"/>
    <n v="3570050"/>
    <n v="0.40568749999999998"/>
    <s v="Excellent"/>
    <n v="0.35"/>
    <s v="Bali &amp; NTT"/>
    <s v="Eko F."/>
    <n v="8706388"/>
  </r>
  <r>
    <s v="2023-10-27"/>
    <x v="21"/>
    <x v="0"/>
    <s v="Aksesoris"/>
    <n v="6700000"/>
    <n v="2583378"/>
    <n v="4116622"/>
    <n v="0.61442119402985074"/>
    <s v="Excellent"/>
    <n v="0.25"/>
    <s v="Sulawesi"/>
    <s v="Eko F."/>
    <n v="8376686"/>
  </r>
  <r>
    <s v="2023-10-31"/>
    <x v="21"/>
    <x v="0"/>
    <s v="Bundle"/>
    <n v="6700000"/>
    <n v="3667164"/>
    <n v="3032836"/>
    <n v="0.4526620895522388"/>
    <s v="Excellent"/>
    <n v="0.25"/>
    <s v="Bali &amp; NTT"/>
    <s v="Dian P."/>
    <n v="8226591"/>
  </r>
  <r>
    <s v="2023-11-01"/>
    <x v="22"/>
    <x v="2"/>
    <s v="Subscription"/>
    <n v="1300000"/>
    <n v="747019"/>
    <n v="552981"/>
    <n v="0.42537000000000003"/>
    <s v="Excellent"/>
    <n v="0.35"/>
    <s v="Kalimantan"/>
    <s v="Hani M."/>
    <n v="1236332"/>
  </r>
  <r>
    <s v="2023-11-04"/>
    <x v="22"/>
    <x v="0"/>
    <s v="Bundle"/>
    <n v="16900000"/>
    <n v="8469688"/>
    <n v="8430312"/>
    <n v="0.49883502958579884"/>
    <s v="Excellent"/>
    <n v="0.25"/>
    <s v="Sulawesi"/>
    <s v="Budi R."/>
    <n v="18592625"/>
  </r>
  <r>
    <s v="2023-11-05"/>
    <x v="22"/>
    <x v="1"/>
    <s v="Training"/>
    <n v="1100000"/>
    <n v="624617"/>
    <n v="475383"/>
    <n v="0.43216636363636363"/>
    <s v="Excellent"/>
    <n v="0.4"/>
    <s v="Sumatera"/>
    <s v="Eko F."/>
    <n v="918160"/>
  </r>
  <r>
    <s v="2023-11-05"/>
    <x v="22"/>
    <x v="0"/>
    <s v="Bundle"/>
    <n v="7000000"/>
    <n v="3177257"/>
    <n v="3822743"/>
    <n v="0.54610614285714287"/>
    <s v="Excellent"/>
    <n v="0.25"/>
    <s v="Sumatera"/>
    <s v="Citra W."/>
    <n v="8770840"/>
  </r>
  <r>
    <s v="2023-11-05"/>
    <x v="22"/>
    <x v="1"/>
    <s v="Konsultasi"/>
    <n v="7700000"/>
    <n v="4288926"/>
    <n v="3411074"/>
    <n v="0.44299662337662338"/>
    <s v="Excellent"/>
    <n v="0.4"/>
    <s v="Sulawesi"/>
    <s v="Budi R."/>
    <n v="9614415"/>
  </r>
  <r>
    <s v="2023-11-09"/>
    <x v="22"/>
    <x v="1"/>
    <s v="Konsultasi"/>
    <n v="2300000"/>
    <n v="1363042"/>
    <n v="936958"/>
    <n v="0.40737304347826087"/>
    <s v="Excellent"/>
    <n v="0.4"/>
    <s v="Kalimantan"/>
    <s v="Eko F."/>
    <n v="2907287"/>
  </r>
  <r>
    <s v="2023-11-09"/>
    <x v="22"/>
    <x v="1"/>
    <s v="Support"/>
    <n v="4600000"/>
    <n v="2758365"/>
    <n v="1841635"/>
    <n v="0.40035543478260871"/>
    <s v="Excellent"/>
    <n v="0.4"/>
    <s v="Sulawesi"/>
    <s v="Budi R."/>
    <n v="5688205"/>
  </r>
  <r>
    <s v="2023-11-10"/>
    <x v="22"/>
    <x v="1"/>
    <s v="Konsultasi"/>
    <n v="5800000"/>
    <n v="3081119"/>
    <n v="2718881"/>
    <n v="0.46877258620689655"/>
    <s v="Excellent"/>
    <n v="0.4"/>
    <s v="Jawa"/>
    <s v="Citra W."/>
    <n v="4766897"/>
  </r>
  <r>
    <s v="2023-11-11"/>
    <x v="22"/>
    <x v="2"/>
    <s v="API Services"/>
    <n v="9200000"/>
    <n v="4975519"/>
    <n v="4224481"/>
    <n v="0.45918271739130434"/>
    <s v="Excellent"/>
    <n v="0.35"/>
    <s v="Kalimantan"/>
    <s v="Gilang T."/>
    <n v="8569171"/>
  </r>
  <r>
    <s v="2023-11-11"/>
    <x v="22"/>
    <x v="0"/>
    <s v="Aksesoris"/>
    <n v="10200000"/>
    <n v="5425605"/>
    <n v="4774395"/>
    <n v="0.46807794117647061"/>
    <s v="Excellent"/>
    <n v="0.25"/>
    <s v="Sulawesi"/>
    <s v="Andi S."/>
    <n v="9852572"/>
  </r>
  <r>
    <s v="2023-11-11"/>
    <x v="22"/>
    <x v="2"/>
    <s v="Software"/>
    <n v="8200000"/>
    <n v="3277620"/>
    <n v="4922380"/>
    <n v="0.60029024390243901"/>
    <s v="Excellent"/>
    <n v="0.35"/>
    <s v="Bali &amp; NTT"/>
    <s v="Dian P."/>
    <n v="7696455"/>
  </r>
  <r>
    <s v="2023-11-12"/>
    <x v="22"/>
    <x v="2"/>
    <s v="API Services"/>
    <n v="3600000"/>
    <n v="1310549"/>
    <n v="2289451"/>
    <n v="0.63595861111111107"/>
    <s v="Excellent"/>
    <n v="0.35"/>
    <s v="Jawa"/>
    <s v="Citra W."/>
    <n v="3129686"/>
  </r>
  <r>
    <s v="2023-11-13"/>
    <x v="22"/>
    <x v="2"/>
    <s v="Subscription"/>
    <n v="3200000"/>
    <n v="1173524"/>
    <n v="2026476"/>
    <n v="0.63327374999999997"/>
    <s v="Excellent"/>
    <n v="0.35"/>
    <s v="Sulawesi"/>
    <s v="Eko F."/>
    <n v="3077252"/>
  </r>
  <r>
    <s v="2023-11-14"/>
    <x v="22"/>
    <x v="1"/>
    <s v="Konsultasi"/>
    <n v="1500000"/>
    <n v="586958"/>
    <n v="913042"/>
    <n v="0.60869466666666672"/>
    <s v="Excellent"/>
    <n v="0.4"/>
    <s v="Jawa"/>
    <s v="Andi S."/>
    <n v="1432325"/>
  </r>
  <r>
    <s v="2023-11-14"/>
    <x v="22"/>
    <x v="1"/>
    <s v="Training"/>
    <n v="19900000"/>
    <n v="9586825"/>
    <n v="10313175"/>
    <n v="0.51824999999999999"/>
    <s v="Excellent"/>
    <n v="0.4"/>
    <s v="Jawa"/>
    <s v="Dian P."/>
    <n v="20872124"/>
  </r>
  <r>
    <s v="2023-11-14"/>
    <x v="22"/>
    <x v="1"/>
    <s v="Support"/>
    <n v="9300000"/>
    <n v="3553072"/>
    <n v="5746928"/>
    <n v="0.61794924731182799"/>
    <s v="Excellent"/>
    <n v="0.4"/>
    <s v="Sulawesi"/>
    <s v="Andi S."/>
    <n v="10669706"/>
  </r>
  <r>
    <s v="2023-11-15"/>
    <x v="22"/>
    <x v="1"/>
    <s v="Support"/>
    <n v="15500000"/>
    <n v="7440187"/>
    <n v="8059813"/>
    <n v="0.51998793548387101"/>
    <s v="Excellent"/>
    <n v="0.4"/>
    <s v="Bali &amp; NTT"/>
    <s v="Dian P."/>
    <n v="14561975"/>
  </r>
  <r>
    <s v="2023-11-15"/>
    <x v="22"/>
    <x v="1"/>
    <s v="Konsultasi"/>
    <n v="8600000"/>
    <n v="4696584"/>
    <n v="3903416"/>
    <n v="0.45388558139534885"/>
    <s v="Excellent"/>
    <n v="0.4"/>
    <s v="Bali &amp; NTT"/>
    <s v="Andi S."/>
    <n v="7061876"/>
  </r>
  <r>
    <s v="2023-11-19"/>
    <x v="22"/>
    <x v="2"/>
    <s v="Software"/>
    <n v="18700000"/>
    <n v="6732963"/>
    <n v="11967037"/>
    <n v="0.63994850267379677"/>
    <s v="Excellent"/>
    <n v="0.35"/>
    <s v="Jawa"/>
    <s v="Budi R."/>
    <n v="24292655"/>
  </r>
  <r>
    <s v="2023-11-19"/>
    <x v="22"/>
    <x v="2"/>
    <s v="API Services"/>
    <n v="4000000"/>
    <n v="1744550"/>
    <n v="2255450"/>
    <n v="0.56386250000000004"/>
    <s v="Excellent"/>
    <n v="0.35"/>
    <s v="Jawa"/>
    <s v="Hani M."/>
    <n v="4310928"/>
  </r>
  <r>
    <s v="2023-11-21"/>
    <x v="22"/>
    <x v="0"/>
    <s v="Aksesoris"/>
    <n v="13900000"/>
    <n v="6054453"/>
    <n v="7845547"/>
    <n v="0.56442784172661875"/>
    <s v="Excellent"/>
    <n v="0.25"/>
    <s v="Bali &amp; NTT"/>
    <s v="Gilang T."/>
    <n v="11263974"/>
  </r>
  <r>
    <s v="2023-11-27"/>
    <x v="22"/>
    <x v="0"/>
    <s v="Hardware"/>
    <n v="13200000"/>
    <n v="5674785"/>
    <n v="7525215"/>
    <n v="0.5700920454545455"/>
    <s v="Excellent"/>
    <n v="0.25"/>
    <s v="Sulawesi"/>
    <s v="Gilang T."/>
    <n v="10764866"/>
  </r>
  <r>
    <s v="2023-11-28"/>
    <x v="22"/>
    <x v="1"/>
    <s v="Konsultasi"/>
    <n v="16900000"/>
    <n v="7612928"/>
    <n v="9287072"/>
    <n v="0.54953088757396451"/>
    <s v="Excellent"/>
    <n v="0.4"/>
    <s v="Sumatera"/>
    <s v="Citra W."/>
    <n v="20126707"/>
  </r>
  <r>
    <s v="2023-12-01"/>
    <x v="23"/>
    <x v="0"/>
    <s v="Hardware"/>
    <n v="4800000"/>
    <n v="1682074"/>
    <n v="3117926"/>
    <n v="0.64956791666666669"/>
    <s v="Excellent"/>
    <n v="0.25"/>
    <s v="Jawa"/>
    <s v="Andi S."/>
    <n v="6204308"/>
  </r>
  <r>
    <s v="2023-12-01"/>
    <x v="23"/>
    <x v="2"/>
    <s v="API Services"/>
    <n v="10000000"/>
    <n v="4934962"/>
    <n v="5065038"/>
    <n v="0.50650379999999995"/>
    <s v="Excellent"/>
    <n v="0.35"/>
    <s v="Sumatera"/>
    <s v="Citra W."/>
    <n v="12457183"/>
  </r>
  <r>
    <s v="2023-12-02"/>
    <x v="23"/>
    <x v="0"/>
    <s v="Hardware"/>
    <n v="6000000"/>
    <n v="2514823"/>
    <n v="3485177"/>
    <n v="0.58086283333333333"/>
    <s v="Excellent"/>
    <n v="0.25"/>
    <s v="Jawa"/>
    <s v="Dian P."/>
    <n v="5137840"/>
  </r>
  <r>
    <s v="2023-12-02"/>
    <x v="23"/>
    <x v="2"/>
    <s v="API Services"/>
    <n v="19400000"/>
    <n v="10291915"/>
    <n v="9108085"/>
    <n v="0.46948891752577321"/>
    <s v="Excellent"/>
    <n v="0.35"/>
    <s v="Bali &amp; NTT"/>
    <s v="Fani A."/>
    <n v="24041598"/>
  </r>
  <r>
    <s v="2023-12-05"/>
    <x v="23"/>
    <x v="1"/>
    <s v="Konsultasi"/>
    <n v="7900000"/>
    <n v="3236663"/>
    <n v="4663337"/>
    <n v="0.59029582278481008"/>
    <s v="Excellent"/>
    <n v="0.4"/>
    <s v="Sumatera"/>
    <s v="Fani A."/>
    <n v="9940119"/>
  </r>
  <r>
    <s v="2023-12-05"/>
    <x v="23"/>
    <x v="0"/>
    <s v="Aksesoris"/>
    <n v="15000000"/>
    <n v="5813776"/>
    <n v="9186224"/>
    <n v="0.6124149333333333"/>
    <s v="Excellent"/>
    <n v="0.25"/>
    <s v="Sumatera"/>
    <s v="Budi R."/>
    <n v="12546466"/>
  </r>
  <r>
    <s v="2023-12-05"/>
    <x v="23"/>
    <x v="1"/>
    <s v="Training"/>
    <n v="2800000"/>
    <n v="1406088"/>
    <n v="1393912"/>
    <n v="0.49782571428571426"/>
    <s v="Excellent"/>
    <n v="0.4"/>
    <s v="Sulawesi"/>
    <s v="Andi S."/>
    <n v="2401238"/>
  </r>
  <r>
    <s v="2023-12-06"/>
    <x v="23"/>
    <x v="2"/>
    <s v="Subscription"/>
    <n v="16700000"/>
    <n v="9668205"/>
    <n v="7031795"/>
    <n v="0.42106556886227547"/>
    <s v="Excellent"/>
    <n v="0.35"/>
    <s v="Kalimantan"/>
    <s v="Fani A."/>
    <n v="21480607"/>
  </r>
  <r>
    <s v="2023-12-06"/>
    <x v="23"/>
    <x v="1"/>
    <s v="Support"/>
    <n v="14800000"/>
    <n v="8596779"/>
    <n v="6203221"/>
    <n v="0.41913655405405403"/>
    <s v="Excellent"/>
    <n v="0.4"/>
    <s v="Bali &amp; NTT"/>
    <s v="Citra W."/>
    <n v="16318515"/>
  </r>
  <r>
    <s v="2023-12-06"/>
    <x v="23"/>
    <x v="0"/>
    <s v="Hardware"/>
    <n v="18000000"/>
    <n v="9386908"/>
    <n v="8613092"/>
    <n v="0.4785051111111111"/>
    <s v="Excellent"/>
    <n v="0.25"/>
    <s v="Bali &amp; NTT"/>
    <s v="Fani A."/>
    <n v="20813589"/>
  </r>
  <r>
    <s v="2023-12-06"/>
    <x v="23"/>
    <x v="0"/>
    <s v="Aksesoris"/>
    <n v="12500000"/>
    <n v="6365104"/>
    <n v="6134896"/>
    <n v="0.49079168000000001"/>
    <s v="Excellent"/>
    <n v="0.25"/>
    <s v="Kalimantan"/>
    <s v="Budi R."/>
    <n v="13108447"/>
  </r>
  <r>
    <s v="2023-12-07"/>
    <x v="23"/>
    <x v="2"/>
    <s v="Subscription"/>
    <n v="9200000"/>
    <n v="4573210"/>
    <n v="4626790"/>
    <n v="0.50291195652173915"/>
    <s v="Excellent"/>
    <n v="0.35"/>
    <s v="Jawa"/>
    <s v="Budi R."/>
    <n v="11862922"/>
  </r>
  <r>
    <s v="2023-12-08"/>
    <x v="23"/>
    <x v="1"/>
    <s v="Konsultasi"/>
    <n v="15600000"/>
    <n v="8649655"/>
    <n v="6950345"/>
    <n v="0.44553493589743592"/>
    <s v="Excellent"/>
    <n v="0.4"/>
    <s v="Jawa"/>
    <s v="Dian P."/>
    <n v="15295318"/>
  </r>
  <r>
    <s v="2023-12-08"/>
    <x v="23"/>
    <x v="0"/>
    <s v="Hardware"/>
    <n v="17100000"/>
    <n v="6173626"/>
    <n v="10926374"/>
    <n v="0.63896923976608189"/>
    <s v="Excellent"/>
    <n v="0.25"/>
    <s v="Sulawesi"/>
    <s v="Hani M."/>
    <n v="18495462"/>
  </r>
  <r>
    <s v="2023-12-08"/>
    <x v="23"/>
    <x v="2"/>
    <s v="Software"/>
    <n v="14900000"/>
    <n v="8552321"/>
    <n v="6347679"/>
    <n v="0.42601872483221476"/>
    <s v="Excellent"/>
    <n v="0.35"/>
    <s v="Jawa"/>
    <s v="Dian P."/>
    <n v="13643218"/>
  </r>
  <r>
    <s v="2023-12-13"/>
    <x v="23"/>
    <x v="0"/>
    <s v="Aksesoris"/>
    <n v="9600000"/>
    <n v="5644090"/>
    <n v="3955910"/>
    <n v="0.41207395833333332"/>
    <s v="Excellent"/>
    <n v="0.25"/>
    <s v="Sulawesi"/>
    <s v="Gilang T."/>
    <n v="9150714"/>
  </r>
  <r>
    <s v="2023-12-13"/>
    <x v="23"/>
    <x v="2"/>
    <s v="Software"/>
    <n v="6300000"/>
    <n v="3365780"/>
    <n v="2934220"/>
    <n v="0.46574920634920636"/>
    <s v="Excellent"/>
    <n v="0.35"/>
    <s v="Jawa"/>
    <s v="Hani M."/>
    <n v="6720660"/>
  </r>
  <r>
    <s v="2023-12-13"/>
    <x v="23"/>
    <x v="1"/>
    <s v="Training"/>
    <n v="2800000"/>
    <n v="1229856"/>
    <n v="1570144"/>
    <n v="0.56076571428571431"/>
    <s v="Excellent"/>
    <n v="0.4"/>
    <s v="Bali &amp; NTT"/>
    <s v="Gilang T."/>
    <n v="2490659"/>
  </r>
  <r>
    <s v="2023-12-13"/>
    <x v="23"/>
    <x v="2"/>
    <s v="Subscription"/>
    <n v="14000000"/>
    <n v="7027781"/>
    <n v="6972219"/>
    <n v="0.49801564285714284"/>
    <s v="Excellent"/>
    <n v="0.35"/>
    <s v="Jawa"/>
    <s v="Dian P."/>
    <n v="16005062"/>
  </r>
  <r>
    <s v="2023-12-14"/>
    <x v="23"/>
    <x v="0"/>
    <s v="Hardware"/>
    <n v="17400000"/>
    <n v="9089322"/>
    <n v="8310678"/>
    <n v="0.4776251724137931"/>
    <s v="Excellent"/>
    <n v="0.25"/>
    <s v="Jawa"/>
    <s v="Budi R."/>
    <n v="14533561"/>
  </r>
  <r>
    <s v="2023-12-14"/>
    <x v="23"/>
    <x v="1"/>
    <s v="Support"/>
    <n v="12600000"/>
    <n v="6178679"/>
    <n v="6421321"/>
    <n v="0.50962865079365083"/>
    <s v="Excellent"/>
    <n v="0.4"/>
    <s v="Sumatera"/>
    <s v="Hani M."/>
    <n v="13891952"/>
  </r>
  <r>
    <s v="2023-12-15"/>
    <x v="23"/>
    <x v="1"/>
    <s v="Support"/>
    <n v="11700000"/>
    <n v="5006476"/>
    <n v="6693524"/>
    <n v="0.57209606837606841"/>
    <s v="Excellent"/>
    <n v="0.4"/>
    <s v="Bali &amp; NTT"/>
    <s v="Eko F."/>
    <n v="12324330"/>
  </r>
  <r>
    <s v="2023-12-18"/>
    <x v="23"/>
    <x v="0"/>
    <s v="Bundle"/>
    <n v="6800000"/>
    <n v="4039412"/>
    <n v="2760588"/>
    <n v="0.40596882352941177"/>
    <s v="Excellent"/>
    <n v="0.25"/>
    <s v="Sumatera"/>
    <s v="Hani M."/>
    <n v="7697154"/>
  </r>
  <r>
    <s v="2023-12-18"/>
    <x v="23"/>
    <x v="2"/>
    <s v="API Services"/>
    <n v="19900000"/>
    <n v="7342004"/>
    <n v="12557996"/>
    <n v="0.63105507537688443"/>
    <s v="Excellent"/>
    <n v="0.35"/>
    <s v="Kalimantan"/>
    <s v="Dian P."/>
    <n v="17781128"/>
  </r>
  <r>
    <s v="2023-12-18"/>
    <x v="23"/>
    <x v="0"/>
    <s v="Bundle"/>
    <n v="14200000"/>
    <n v="7004982"/>
    <n v="7195018"/>
    <n v="0.50669140845070426"/>
    <s v="Excellent"/>
    <n v="0.25"/>
    <s v="Jawa"/>
    <s v="Andi S."/>
    <n v="15241010"/>
  </r>
  <r>
    <s v="2023-12-19"/>
    <x v="23"/>
    <x v="0"/>
    <s v="Aksesoris"/>
    <n v="18900000"/>
    <n v="8412841"/>
    <n v="10487159"/>
    <n v="0.55487613756613752"/>
    <s v="Excellent"/>
    <n v="0.25"/>
    <s v="Jawa"/>
    <s v="Dian P."/>
    <n v="22594719"/>
  </r>
  <r>
    <s v="2023-12-20"/>
    <x v="23"/>
    <x v="1"/>
    <s v="Training"/>
    <n v="1300000"/>
    <n v="536151"/>
    <n v="763849"/>
    <n v="0.5875761538461538"/>
    <s v="Excellent"/>
    <n v="0.4"/>
    <s v="Bali &amp; NTT"/>
    <s v="Fani A."/>
    <n v="1121051"/>
  </r>
  <r>
    <s v="2023-12-21"/>
    <x v="23"/>
    <x v="2"/>
    <s v="API Services"/>
    <n v="15300000"/>
    <n v="5847524"/>
    <n v="9452476"/>
    <n v="0.61780888888888885"/>
    <s v="Excellent"/>
    <n v="0.35"/>
    <s v="Bali &amp; NTT"/>
    <s v="Hani M."/>
    <n v="19744734"/>
  </r>
  <r>
    <s v="2023-12-25"/>
    <x v="23"/>
    <x v="2"/>
    <s v="Software"/>
    <n v="17900000"/>
    <n v="7850994"/>
    <n v="10049006"/>
    <n v="0.56139698324022347"/>
    <s v="Excellent"/>
    <n v="0.35"/>
    <s v="Kalimantan"/>
    <s v="Eko F."/>
    <n v="22864871"/>
  </r>
  <r>
    <s v="2023-12-27"/>
    <x v="23"/>
    <x v="1"/>
    <s v="Support"/>
    <n v="6500000"/>
    <n v="3596648"/>
    <n v="2903352"/>
    <n v="0.44666953846153845"/>
    <s v="Excellent"/>
    <n v="0.4"/>
    <s v="Bali &amp; NTT"/>
    <s v="Hani M."/>
    <n v="6009571"/>
  </r>
  <r>
    <s v="2023-12-28"/>
    <x v="23"/>
    <x v="2"/>
    <s v="Subscription"/>
    <n v="17200000"/>
    <n v="6165495"/>
    <n v="11034505"/>
    <n v="0.64154098837209306"/>
    <s v="Excellent"/>
    <n v="0.35"/>
    <s v="Sumatera"/>
    <s v="Fani A."/>
    <n v="15106166"/>
  </r>
  <r>
    <s v="2023-12-28"/>
    <x v="23"/>
    <x v="0"/>
    <s v="Aksesoris"/>
    <n v="3900000"/>
    <n v="2160386"/>
    <n v="1739614"/>
    <n v="0.4460548717948718"/>
    <s v="Excellent"/>
    <n v="0.25"/>
    <s v="Sulawesi"/>
    <s v="Fani A."/>
    <n v="4573298"/>
  </r>
  <r>
    <s v="2023-12-30"/>
    <x v="23"/>
    <x v="1"/>
    <s v="Support"/>
    <n v="10800000"/>
    <n v="6080963"/>
    <n v="4719037"/>
    <n v="0.43694787037037036"/>
    <s v="Excellent"/>
    <n v="0.4"/>
    <s v="Kalimantan"/>
    <s v="Fani A."/>
    <n v="9427133"/>
  </r>
  <r>
    <s v="2023-12-30"/>
    <x v="23"/>
    <x v="1"/>
    <s v="Training"/>
    <n v="2000000"/>
    <n v="712341"/>
    <n v="1287659"/>
    <n v="0.64382950000000005"/>
    <s v="Excellent"/>
    <n v="0.4"/>
    <s v="Bali &amp; NTT"/>
    <s v="Fani A."/>
    <n v="1818693"/>
  </r>
  <r>
    <s v="2023-12-31"/>
    <x v="23"/>
    <x v="1"/>
    <s v="Support"/>
    <n v="18100000"/>
    <n v="8805942"/>
    <n v="9294058"/>
    <n v="0.51348386740331486"/>
    <s v="Excellent"/>
    <n v="0.4"/>
    <s v="Kalimantan"/>
    <s v="Budi R."/>
    <n v="226821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19B06-5A89-4C6D-A9BD-BB4D2B0DBF6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G3:J7" firstHeaderRow="0" firstDataRow="1" firstDataCol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dataField="1" showAll="0"/>
    <pivotField dataField="1" showAll="0"/>
    <pivotField numFmtId="10" showAll="0"/>
    <pivotField showAll="0"/>
    <pivotField numFmtId="10"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4" baseField="0" baseItem="0"/>
    <dataField name="Sum of COGS" fld="5" baseField="0" baseItem="0"/>
    <dataField name="Sum of Gross_Profit" fld="6" baseField="0" baseItem="0"/>
  </dataFields>
  <chartFormats count="9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86934-FD2D-416A-B972-FDA9A14E3A0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D28" firstHeaderRow="0" firstDataRow="1" firstDataCol="1"/>
  <pivotFields count="14"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dataField="1" showAll="0"/>
    <pivotField dataField="1" showAll="0"/>
    <pivotField dataField="1" showAll="0"/>
    <pivotField numFmtId="10" showAll="0"/>
    <pivotField showAll="0"/>
    <pivotField numFmtId="10"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Revenue" fld="4" baseField="1" baseItem="0"/>
    <dataField name="Total Cost" fld="5" baseField="1" baseItem="0"/>
    <dataField name="Total Profit" fld="6" baseField="1" baseItem="0"/>
  </dataFields>
  <chartFormats count="3">
    <chartFormat chart="1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637060-5ABA-4BE7-B0C0-66DEAB3A0D75}" name="tbl_raw" displayName="tbl_raw" ref="A1:M701" totalsRowShown="0" headerRowDxfId="19">
  <autoFilter ref="A1:M701" xr:uid="{E1637060-5ABA-4BE7-B0C0-66DEAB3A0D75}"/>
  <tableColumns count="13">
    <tableColumn id="1" xr3:uid="{CB2D4731-E707-4658-8575-C077D2E6CAC5}" name="Tanggal"/>
    <tableColumn id="2" xr3:uid="{F63619D2-EEA2-40E9-8C9C-1238DD940AB6}" name="Bulan"/>
    <tableColumn id="3" xr3:uid="{59AF044D-65AD-4FA5-B54B-3B79D405B051}" name="Kategori"/>
    <tableColumn id="4" xr3:uid="{B0695088-1C55-49DA-B1D9-A1B51D7CAE34}" name="Sub-Kategori"/>
    <tableColumn id="5" xr3:uid="{77ADEA7D-4768-4268-B415-8E7A74312F27}" name="Revenue"/>
    <tableColumn id="6" xr3:uid="{8276C976-6CEA-4655-8808-262E1176063E}" name="COGS"/>
    <tableColumn id="7" xr3:uid="{78ED8840-9057-40CF-B1B6-123D8062986B}" name="Gross_Profit"/>
    <tableColumn id="11" xr3:uid="{2D997823-FFC4-4425-9106-DBB871EC6ACC}" name="Profit_Margin" dataDxfId="18" dataCellStyle="Percent">
      <calculatedColumnFormula>IFERROR((tbl_raw[[#This Row],[Revenue]]-tbl_raw[[#This Row],[COGS]]) / tbl_raw[[#This Row],[Revenue]], 0)</calculatedColumnFormula>
    </tableColumn>
    <tableColumn id="12" xr3:uid="{424129AB-41AB-4A76-A30C-0EDB1CE86765}" name="Status_Margin" dataDxfId="17" dataCellStyle="Percent">
      <calculatedColumnFormula array="1">_xlfn.IFS(
tbl_raw[[#This Row],[Profit_Margin]]&gt;=40%, "Excellent",
tbl_raw[[#This Row],[Profit_Margin]]&gt;=30%, "Achieved",
tbl_raw[[#This Row],[Profit_Margin]]&gt;=20%, "Warning",
tbl_raw[[#This Row],[Profit_Margin]]&lt;20%, "Critical"
)</calculatedColumnFormula>
    </tableColumn>
    <tableColumn id="13" xr3:uid="{641A5384-E345-423D-BD82-1AA4A7EE0BEC}" name="Target_Margin" dataDxfId="16" dataCellStyle="Percent">
      <calculatedColumnFormula>_xlfn.XLOOKUP(tbl_raw[[#This Row],[Kategori]], tbl_target[Kategori], tbl_target[Target_Margin], 0)</calculatedColumnFormula>
    </tableColumn>
    <tableColumn id="8" xr3:uid="{9F640065-E1F6-43C4-B8D5-6BA13D2D4849}" name="Region"/>
    <tableColumn id="9" xr3:uid="{A47A0982-519F-4629-B202-121143EADE14}" name="Sales_Rep"/>
    <tableColumn id="10" xr3:uid="{B116795F-0407-4C51-B081-3F7A3B460BAF}" name="Target_Reven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0039B4-9AD9-4A71-93D3-F356B975EB2D}" name="tbl_target" displayName="tbl_target" ref="A1:B4" totalsRowShown="0">
  <autoFilter ref="A1:B4" xr:uid="{B50039B4-9AD9-4A71-93D3-F356B975EB2D}"/>
  <tableColumns count="2">
    <tableColumn id="1" xr3:uid="{A65BCBDB-214E-40E6-9A73-60064561CDEE}" name="Kategori"/>
    <tableColumn id="2" xr3:uid="{A27FFE82-1245-432C-BA42-B9A1D6EC28FB}" name="Target_Margin" dataDxfId="15" dataCellStyle="Per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1"/>
  <sheetViews>
    <sheetView topLeftCell="A2" workbookViewId="0">
      <selection activeCell="J17" sqref="J17"/>
    </sheetView>
  </sheetViews>
  <sheetFormatPr defaultRowHeight="14.4" x14ac:dyDescent="0.3"/>
  <cols>
    <col min="1" max="7" width="16" customWidth="1"/>
    <col min="8" max="8" width="16" style="5" customWidth="1"/>
    <col min="9" max="9" width="16" customWidth="1"/>
    <col min="10" max="10" width="17.109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507</v>
      </c>
      <c r="I1" s="6" t="s">
        <v>508</v>
      </c>
      <c r="J1" s="6" t="s">
        <v>509</v>
      </c>
      <c r="K1" s="1" t="s">
        <v>7</v>
      </c>
      <c r="L1" s="1" t="s">
        <v>8</v>
      </c>
      <c r="M1" s="1" t="s">
        <v>9</v>
      </c>
    </row>
    <row r="2" spans="1:13" x14ac:dyDescent="0.3">
      <c r="A2" t="s">
        <v>10</v>
      </c>
      <c r="B2" t="s">
        <v>11</v>
      </c>
      <c r="C2" t="s">
        <v>12</v>
      </c>
      <c r="D2" t="s">
        <v>13</v>
      </c>
      <c r="E2">
        <v>9400000</v>
      </c>
      <c r="F2">
        <v>5486438</v>
      </c>
      <c r="G2">
        <v>3913562</v>
      </c>
      <c r="H2" s="5">
        <f>IFERROR((tbl_raw[[#This Row],[Revenue]]-tbl_raw[[#This Row],[COGS]]) / tbl_raw[[#This Row],[Revenue]], 0)</f>
        <v>0.41633638297872338</v>
      </c>
      <c r="I2" s="5" t="str" cm="1">
        <f t="array" ref="I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" s="5">
        <f>_xlfn.XLOOKUP(tbl_raw[[#This Row],[Kategori]], tbl_target[Kategori], tbl_target[Target_Margin], 0)</f>
        <v>0.25</v>
      </c>
      <c r="K2" t="s">
        <v>14</v>
      </c>
      <c r="L2" t="s">
        <v>15</v>
      </c>
      <c r="M2">
        <v>11060638</v>
      </c>
    </row>
    <row r="3" spans="1:13" x14ac:dyDescent="0.3">
      <c r="A3" t="s">
        <v>16</v>
      </c>
      <c r="B3" t="s">
        <v>11</v>
      </c>
      <c r="C3" t="s">
        <v>12</v>
      </c>
      <c r="D3" t="s">
        <v>17</v>
      </c>
      <c r="E3">
        <v>1300000</v>
      </c>
      <c r="F3">
        <v>498382</v>
      </c>
      <c r="G3">
        <v>801618</v>
      </c>
      <c r="H3" s="5">
        <f>IFERROR((tbl_raw[[#This Row],[Revenue]]-tbl_raw[[#This Row],[COGS]]) / tbl_raw[[#This Row],[Revenue]], 0)</f>
        <v>0.61662923076923082</v>
      </c>
      <c r="I3" s="5" t="str" cm="1">
        <f t="array" ref="I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" s="5">
        <f>_xlfn.XLOOKUP(tbl_raw[[#This Row],[Kategori]], tbl_target[Kategori], tbl_target[Target_Margin], 0)</f>
        <v>0.25</v>
      </c>
      <c r="K3" t="s">
        <v>18</v>
      </c>
      <c r="L3" t="s">
        <v>19</v>
      </c>
      <c r="M3">
        <v>1679405</v>
      </c>
    </row>
    <row r="4" spans="1:13" x14ac:dyDescent="0.3">
      <c r="A4" t="s">
        <v>16</v>
      </c>
      <c r="B4" t="s">
        <v>11</v>
      </c>
      <c r="C4" t="s">
        <v>20</v>
      </c>
      <c r="D4" t="s">
        <v>21</v>
      </c>
      <c r="E4">
        <v>6700000</v>
      </c>
      <c r="F4">
        <v>2977975</v>
      </c>
      <c r="G4">
        <v>3722025</v>
      </c>
      <c r="H4" s="5">
        <f>IFERROR((tbl_raw[[#This Row],[Revenue]]-tbl_raw[[#This Row],[COGS]]) / tbl_raw[[#This Row],[Revenue]], 0)</f>
        <v>0.55552611940298502</v>
      </c>
      <c r="I4" s="5" t="str" cm="1">
        <f t="array" ref="I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" s="5">
        <f>_xlfn.XLOOKUP(tbl_raw[[#This Row],[Kategori]], tbl_target[Kategori], tbl_target[Target_Margin], 0)</f>
        <v>0.4</v>
      </c>
      <c r="K4" t="s">
        <v>22</v>
      </c>
      <c r="L4" t="s">
        <v>19</v>
      </c>
      <c r="M4">
        <v>7492837</v>
      </c>
    </row>
    <row r="5" spans="1:13" x14ac:dyDescent="0.3">
      <c r="A5" t="s">
        <v>16</v>
      </c>
      <c r="B5" t="s">
        <v>11</v>
      </c>
      <c r="C5" t="s">
        <v>23</v>
      </c>
      <c r="D5" t="s">
        <v>24</v>
      </c>
      <c r="E5">
        <v>4900000</v>
      </c>
      <c r="F5">
        <v>2254173</v>
      </c>
      <c r="G5">
        <v>2645827</v>
      </c>
      <c r="H5" s="5">
        <f>IFERROR((tbl_raw[[#This Row],[Revenue]]-tbl_raw[[#This Row],[COGS]]) / tbl_raw[[#This Row],[Revenue]], 0)</f>
        <v>0.53996469387755097</v>
      </c>
      <c r="I5" s="5" t="str" cm="1">
        <f t="array" ref="I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" s="5">
        <f>_xlfn.XLOOKUP(tbl_raw[[#This Row],[Kategori]], tbl_target[Kategori], tbl_target[Target_Margin], 0)</f>
        <v>0.35</v>
      </c>
      <c r="K5" t="s">
        <v>18</v>
      </c>
      <c r="L5" t="s">
        <v>25</v>
      </c>
      <c r="M5">
        <v>4317119</v>
      </c>
    </row>
    <row r="6" spans="1:13" x14ac:dyDescent="0.3">
      <c r="A6" t="s">
        <v>26</v>
      </c>
      <c r="B6" t="s">
        <v>11</v>
      </c>
      <c r="C6" t="s">
        <v>23</v>
      </c>
      <c r="D6" t="s">
        <v>27</v>
      </c>
      <c r="E6">
        <v>7000000</v>
      </c>
      <c r="F6">
        <v>4073659</v>
      </c>
      <c r="G6">
        <v>2926341</v>
      </c>
      <c r="H6" s="5">
        <f>IFERROR((tbl_raw[[#This Row],[Revenue]]-tbl_raw[[#This Row],[COGS]]) / tbl_raw[[#This Row],[Revenue]], 0)</f>
        <v>0.41804871428571427</v>
      </c>
      <c r="I6" s="5" t="str" cm="1">
        <f t="array" ref="I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" s="5">
        <f>_xlfn.XLOOKUP(tbl_raw[[#This Row],[Kategori]], tbl_target[Kategori], tbl_target[Target_Margin], 0)</f>
        <v>0.35</v>
      </c>
      <c r="K6" t="s">
        <v>14</v>
      </c>
      <c r="L6" t="s">
        <v>28</v>
      </c>
      <c r="M6">
        <v>7191661</v>
      </c>
    </row>
    <row r="7" spans="1:13" x14ac:dyDescent="0.3">
      <c r="A7" t="s">
        <v>29</v>
      </c>
      <c r="B7" t="s">
        <v>11</v>
      </c>
      <c r="C7" t="s">
        <v>20</v>
      </c>
      <c r="D7" t="s">
        <v>30</v>
      </c>
      <c r="E7">
        <v>18700000</v>
      </c>
      <c r="F7">
        <v>10072130</v>
      </c>
      <c r="G7">
        <v>8627870</v>
      </c>
      <c r="H7" s="5">
        <f>IFERROR((tbl_raw[[#This Row],[Revenue]]-tbl_raw[[#This Row],[COGS]]) / tbl_raw[[#This Row],[Revenue]], 0)</f>
        <v>0.46138342245989306</v>
      </c>
      <c r="I7" s="5" t="str" cm="1">
        <f t="array" ref="I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7" s="5">
        <f>_xlfn.XLOOKUP(tbl_raw[[#This Row],[Kategori]], tbl_target[Kategori], tbl_target[Target_Margin], 0)</f>
        <v>0.4</v>
      </c>
      <c r="K7" t="s">
        <v>22</v>
      </c>
      <c r="L7" t="s">
        <v>31</v>
      </c>
      <c r="M7">
        <v>20452635</v>
      </c>
    </row>
    <row r="8" spans="1:13" x14ac:dyDescent="0.3">
      <c r="A8" t="s">
        <v>29</v>
      </c>
      <c r="B8" t="s">
        <v>11</v>
      </c>
      <c r="C8" t="s">
        <v>12</v>
      </c>
      <c r="D8" t="s">
        <v>32</v>
      </c>
      <c r="E8">
        <v>3800000</v>
      </c>
      <c r="F8">
        <v>1553259</v>
      </c>
      <c r="G8">
        <v>2246741</v>
      </c>
      <c r="H8" s="5">
        <f>IFERROR((tbl_raw[[#This Row],[Revenue]]-tbl_raw[[#This Row],[COGS]]) / tbl_raw[[#This Row],[Revenue]], 0)</f>
        <v>0.59124763157894733</v>
      </c>
      <c r="I8" s="5" t="str" cm="1">
        <f t="array" ref="I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8" s="5">
        <f>_xlfn.XLOOKUP(tbl_raw[[#This Row],[Kategori]], tbl_target[Kategori], tbl_target[Target_Margin], 0)</f>
        <v>0.25</v>
      </c>
      <c r="K8" t="s">
        <v>14</v>
      </c>
      <c r="L8" t="s">
        <v>19</v>
      </c>
      <c r="M8">
        <v>4017085</v>
      </c>
    </row>
    <row r="9" spans="1:13" x14ac:dyDescent="0.3">
      <c r="A9" t="s">
        <v>33</v>
      </c>
      <c r="B9" t="s">
        <v>11</v>
      </c>
      <c r="C9" t="s">
        <v>23</v>
      </c>
      <c r="D9" t="s">
        <v>27</v>
      </c>
      <c r="E9">
        <v>1100000</v>
      </c>
      <c r="F9">
        <v>659247</v>
      </c>
      <c r="G9">
        <v>440753</v>
      </c>
      <c r="H9" s="5">
        <f>IFERROR((tbl_raw[[#This Row],[Revenue]]-tbl_raw[[#This Row],[COGS]]) / tbl_raw[[#This Row],[Revenue]], 0)</f>
        <v>0.40068454545454546</v>
      </c>
      <c r="I9" s="5" t="str" cm="1">
        <f t="array" ref="I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9" s="5">
        <f>_xlfn.XLOOKUP(tbl_raw[[#This Row],[Kategori]], tbl_target[Kategori], tbl_target[Target_Margin], 0)</f>
        <v>0.35</v>
      </c>
      <c r="K9" t="s">
        <v>22</v>
      </c>
      <c r="L9" t="s">
        <v>19</v>
      </c>
      <c r="M9">
        <v>896169</v>
      </c>
    </row>
    <row r="10" spans="1:13" x14ac:dyDescent="0.3">
      <c r="A10" t="s">
        <v>33</v>
      </c>
      <c r="B10" t="s">
        <v>11</v>
      </c>
      <c r="C10" t="s">
        <v>23</v>
      </c>
      <c r="D10" t="s">
        <v>27</v>
      </c>
      <c r="E10">
        <v>17800000</v>
      </c>
      <c r="F10">
        <v>6682371</v>
      </c>
      <c r="G10">
        <v>11117629</v>
      </c>
      <c r="H10" s="5">
        <f>IFERROR((tbl_raw[[#This Row],[Revenue]]-tbl_raw[[#This Row],[COGS]]) / tbl_raw[[#This Row],[Revenue]], 0)</f>
        <v>0.62458589887640448</v>
      </c>
      <c r="I10" s="5" t="str" cm="1">
        <f t="array" ref="I1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0" s="5">
        <f>_xlfn.XLOOKUP(tbl_raw[[#This Row],[Kategori]], tbl_target[Kategori], tbl_target[Target_Margin], 0)</f>
        <v>0.35</v>
      </c>
      <c r="K10" t="s">
        <v>22</v>
      </c>
      <c r="L10" t="s">
        <v>34</v>
      </c>
      <c r="M10">
        <v>19606051</v>
      </c>
    </row>
    <row r="11" spans="1:13" x14ac:dyDescent="0.3">
      <c r="A11" t="s">
        <v>35</v>
      </c>
      <c r="B11" t="s">
        <v>11</v>
      </c>
      <c r="C11" t="s">
        <v>12</v>
      </c>
      <c r="D11" t="s">
        <v>17</v>
      </c>
      <c r="E11">
        <v>1000000</v>
      </c>
      <c r="F11">
        <v>564382</v>
      </c>
      <c r="G11">
        <v>435618</v>
      </c>
      <c r="H11" s="5">
        <f>IFERROR((tbl_raw[[#This Row],[Revenue]]-tbl_raw[[#This Row],[COGS]]) / tbl_raw[[#This Row],[Revenue]], 0)</f>
        <v>0.43561800000000001</v>
      </c>
      <c r="I11" s="5" t="str" cm="1">
        <f t="array" ref="I1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1" s="5">
        <f>_xlfn.XLOOKUP(tbl_raw[[#This Row],[Kategori]], tbl_target[Kategori], tbl_target[Target_Margin], 0)</f>
        <v>0.25</v>
      </c>
      <c r="K11" t="s">
        <v>36</v>
      </c>
      <c r="L11" t="s">
        <v>34</v>
      </c>
      <c r="M11">
        <v>1041636</v>
      </c>
    </row>
    <row r="12" spans="1:13" x14ac:dyDescent="0.3">
      <c r="A12" t="s">
        <v>37</v>
      </c>
      <c r="B12" t="s">
        <v>11</v>
      </c>
      <c r="C12" t="s">
        <v>20</v>
      </c>
      <c r="D12" t="s">
        <v>21</v>
      </c>
      <c r="E12">
        <v>16300000</v>
      </c>
      <c r="F12">
        <v>5991809</v>
      </c>
      <c r="G12">
        <v>10308191</v>
      </c>
      <c r="H12" s="5">
        <f>IFERROR((tbl_raw[[#This Row],[Revenue]]-tbl_raw[[#This Row],[COGS]]) / tbl_raw[[#This Row],[Revenue]], 0)</f>
        <v>0.63240435582822085</v>
      </c>
      <c r="I12" s="5" t="str" cm="1">
        <f t="array" ref="I1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2" s="5">
        <f>_xlfn.XLOOKUP(tbl_raw[[#This Row],[Kategori]], tbl_target[Kategori], tbl_target[Target_Margin], 0)</f>
        <v>0.4</v>
      </c>
      <c r="K12" t="s">
        <v>36</v>
      </c>
      <c r="L12" t="s">
        <v>19</v>
      </c>
      <c r="M12">
        <v>17789452</v>
      </c>
    </row>
    <row r="13" spans="1:13" x14ac:dyDescent="0.3">
      <c r="A13" t="s">
        <v>38</v>
      </c>
      <c r="B13" t="s">
        <v>11</v>
      </c>
      <c r="C13" t="s">
        <v>23</v>
      </c>
      <c r="D13" t="s">
        <v>27</v>
      </c>
      <c r="E13">
        <v>19000000</v>
      </c>
      <c r="F13">
        <v>7765313</v>
      </c>
      <c r="G13">
        <v>11234687</v>
      </c>
      <c r="H13" s="5">
        <f>IFERROR((tbl_raw[[#This Row],[Revenue]]-tbl_raw[[#This Row],[COGS]]) / tbl_raw[[#This Row],[Revenue]], 0)</f>
        <v>0.5912993157894737</v>
      </c>
      <c r="I13" s="5" t="str" cm="1">
        <f t="array" ref="I1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3" s="5">
        <f>_xlfn.XLOOKUP(tbl_raw[[#This Row],[Kategori]], tbl_target[Kategori], tbl_target[Target_Margin], 0)</f>
        <v>0.35</v>
      </c>
      <c r="K13" t="s">
        <v>14</v>
      </c>
      <c r="L13" t="s">
        <v>28</v>
      </c>
      <c r="M13">
        <v>23463022</v>
      </c>
    </row>
    <row r="14" spans="1:13" x14ac:dyDescent="0.3">
      <c r="A14" t="s">
        <v>39</v>
      </c>
      <c r="B14" t="s">
        <v>11</v>
      </c>
      <c r="C14" t="s">
        <v>20</v>
      </c>
      <c r="D14" t="s">
        <v>40</v>
      </c>
      <c r="E14">
        <v>16800000</v>
      </c>
      <c r="F14">
        <v>9189574</v>
      </c>
      <c r="G14">
        <v>7610426</v>
      </c>
      <c r="H14" s="5">
        <f>IFERROR((tbl_raw[[#This Row],[Revenue]]-tbl_raw[[#This Row],[COGS]]) / tbl_raw[[#This Row],[Revenue]], 0)</f>
        <v>0.4530015476190476</v>
      </c>
      <c r="I14" s="5" t="str" cm="1">
        <f t="array" ref="I1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4" s="5">
        <f>_xlfn.XLOOKUP(tbl_raw[[#This Row],[Kategori]], tbl_target[Kategori], tbl_target[Target_Margin], 0)</f>
        <v>0.4</v>
      </c>
      <c r="K14" t="s">
        <v>22</v>
      </c>
      <c r="L14" t="s">
        <v>41</v>
      </c>
      <c r="M14">
        <v>19898767</v>
      </c>
    </row>
    <row r="15" spans="1:13" x14ac:dyDescent="0.3">
      <c r="A15" t="s">
        <v>42</v>
      </c>
      <c r="B15" t="s">
        <v>11</v>
      </c>
      <c r="C15" t="s">
        <v>12</v>
      </c>
      <c r="D15" t="s">
        <v>32</v>
      </c>
      <c r="E15">
        <v>6500000</v>
      </c>
      <c r="F15">
        <v>3774135</v>
      </c>
      <c r="G15">
        <v>2725865</v>
      </c>
      <c r="H15" s="5">
        <f>IFERROR((tbl_raw[[#This Row],[Revenue]]-tbl_raw[[#This Row],[COGS]]) / tbl_raw[[#This Row],[Revenue]], 0)</f>
        <v>0.41936384615384614</v>
      </c>
      <c r="I15" s="5" t="str" cm="1">
        <f t="array" ref="I1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5" s="5">
        <f>_xlfn.XLOOKUP(tbl_raw[[#This Row],[Kategori]], tbl_target[Kategori], tbl_target[Target_Margin], 0)</f>
        <v>0.25</v>
      </c>
      <c r="K15" t="s">
        <v>14</v>
      </c>
      <c r="L15" t="s">
        <v>19</v>
      </c>
      <c r="M15">
        <v>7297572</v>
      </c>
    </row>
    <row r="16" spans="1:13" x14ac:dyDescent="0.3">
      <c r="A16" t="s">
        <v>43</v>
      </c>
      <c r="B16" t="s">
        <v>11</v>
      </c>
      <c r="C16" t="s">
        <v>12</v>
      </c>
      <c r="D16" t="s">
        <v>13</v>
      </c>
      <c r="E16">
        <v>2900000</v>
      </c>
      <c r="F16">
        <v>1293503</v>
      </c>
      <c r="G16">
        <v>1606497</v>
      </c>
      <c r="H16" s="5">
        <f>IFERROR((tbl_raw[[#This Row],[Revenue]]-tbl_raw[[#This Row],[COGS]]) / tbl_raw[[#This Row],[Revenue]], 0)</f>
        <v>0.55396448275862065</v>
      </c>
      <c r="I16" s="5" t="str" cm="1">
        <f t="array" ref="I1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6" s="5">
        <f>_xlfn.XLOOKUP(tbl_raw[[#This Row],[Kategori]], tbl_target[Kategori], tbl_target[Target_Margin], 0)</f>
        <v>0.25</v>
      </c>
      <c r="K16" t="s">
        <v>18</v>
      </c>
      <c r="L16" t="s">
        <v>31</v>
      </c>
      <c r="M16">
        <v>2535115</v>
      </c>
    </row>
    <row r="17" spans="1:13" x14ac:dyDescent="0.3">
      <c r="A17" t="s">
        <v>44</v>
      </c>
      <c r="B17" t="s">
        <v>11</v>
      </c>
      <c r="C17" t="s">
        <v>20</v>
      </c>
      <c r="D17" t="s">
        <v>21</v>
      </c>
      <c r="E17">
        <v>15100000</v>
      </c>
      <c r="F17">
        <v>7719082</v>
      </c>
      <c r="G17">
        <v>7380918</v>
      </c>
      <c r="H17" s="5">
        <f>IFERROR((tbl_raw[[#This Row],[Revenue]]-tbl_raw[[#This Row],[COGS]]) / tbl_raw[[#This Row],[Revenue]], 0)</f>
        <v>0.48880251655629137</v>
      </c>
      <c r="I17" s="5" t="str" cm="1">
        <f t="array" ref="I1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7" s="5">
        <f>_xlfn.XLOOKUP(tbl_raw[[#This Row],[Kategori]], tbl_target[Kategori], tbl_target[Target_Margin], 0)</f>
        <v>0.4</v>
      </c>
      <c r="K17" t="s">
        <v>14</v>
      </c>
      <c r="L17" t="s">
        <v>34</v>
      </c>
      <c r="M17">
        <v>14212636</v>
      </c>
    </row>
    <row r="18" spans="1:13" x14ac:dyDescent="0.3">
      <c r="A18" t="s">
        <v>45</v>
      </c>
      <c r="B18" t="s">
        <v>11</v>
      </c>
      <c r="C18" t="s">
        <v>12</v>
      </c>
      <c r="D18" t="s">
        <v>13</v>
      </c>
      <c r="E18">
        <v>9300000</v>
      </c>
      <c r="F18">
        <v>4090885</v>
      </c>
      <c r="G18">
        <v>5209115</v>
      </c>
      <c r="H18" s="5">
        <f>IFERROR((tbl_raw[[#This Row],[Revenue]]-tbl_raw[[#This Row],[COGS]]) / tbl_raw[[#This Row],[Revenue]], 0)</f>
        <v>0.56011989247311833</v>
      </c>
      <c r="I18" s="5" t="str" cm="1">
        <f t="array" ref="I1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8" s="5">
        <f>_xlfn.XLOOKUP(tbl_raw[[#This Row],[Kategori]], tbl_target[Kategori], tbl_target[Target_Margin], 0)</f>
        <v>0.25</v>
      </c>
      <c r="K18" t="s">
        <v>36</v>
      </c>
      <c r="L18" t="s">
        <v>41</v>
      </c>
      <c r="M18">
        <v>7535297</v>
      </c>
    </row>
    <row r="19" spans="1:13" x14ac:dyDescent="0.3">
      <c r="A19" t="s">
        <v>46</v>
      </c>
      <c r="B19" t="s">
        <v>11</v>
      </c>
      <c r="C19" t="s">
        <v>23</v>
      </c>
      <c r="D19" t="s">
        <v>24</v>
      </c>
      <c r="E19">
        <v>15200000</v>
      </c>
      <c r="F19">
        <v>5956424</v>
      </c>
      <c r="G19">
        <v>9243576</v>
      </c>
      <c r="H19" s="5">
        <f>IFERROR((tbl_raw[[#This Row],[Revenue]]-tbl_raw[[#This Row],[COGS]]) / tbl_raw[[#This Row],[Revenue]], 0)</f>
        <v>0.60812999999999995</v>
      </c>
      <c r="I19" s="5" t="str" cm="1">
        <f t="array" ref="I1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9" s="5">
        <f>_xlfn.XLOOKUP(tbl_raw[[#This Row],[Kategori]], tbl_target[Kategori], tbl_target[Target_Margin], 0)</f>
        <v>0.35</v>
      </c>
      <c r="K19" t="s">
        <v>14</v>
      </c>
      <c r="L19" t="s">
        <v>19</v>
      </c>
      <c r="M19">
        <v>19204149</v>
      </c>
    </row>
    <row r="20" spans="1:13" x14ac:dyDescent="0.3">
      <c r="A20" t="s">
        <v>47</v>
      </c>
      <c r="B20" t="s">
        <v>11</v>
      </c>
      <c r="C20" t="s">
        <v>20</v>
      </c>
      <c r="D20" t="s">
        <v>21</v>
      </c>
      <c r="E20">
        <v>3000000</v>
      </c>
      <c r="F20">
        <v>1269207</v>
      </c>
      <c r="G20">
        <v>1730793</v>
      </c>
      <c r="H20" s="5">
        <f>IFERROR((tbl_raw[[#This Row],[Revenue]]-tbl_raw[[#This Row],[COGS]]) / tbl_raw[[#This Row],[Revenue]], 0)</f>
        <v>0.57693099999999997</v>
      </c>
      <c r="I20" s="5" t="str" cm="1">
        <f t="array" ref="I2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0" s="5">
        <f>_xlfn.XLOOKUP(tbl_raw[[#This Row],[Kategori]], tbl_target[Kategori], tbl_target[Target_Margin], 0)</f>
        <v>0.4</v>
      </c>
      <c r="K20" t="s">
        <v>22</v>
      </c>
      <c r="L20" t="s">
        <v>41</v>
      </c>
      <c r="M20">
        <v>3018215</v>
      </c>
    </row>
    <row r="21" spans="1:13" x14ac:dyDescent="0.3">
      <c r="A21" t="s">
        <v>47</v>
      </c>
      <c r="B21" t="s">
        <v>11</v>
      </c>
      <c r="C21" t="s">
        <v>20</v>
      </c>
      <c r="D21" t="s">
        <v>40</v>
      </c>
      <c r="E21">
        <v>18300000</v>
      </c>
      <c r="F21">
        <v>8303344</v>
      </c>
      <c r="G21">
        <v>9996656</v>
      </c>
      <c r="H21" s="5">
        <f>IFERROR((tbl_raw[[#This Row],[Revenue]]-tbl_raw[[#This Row],[COGS]]) / tbl_raw[[#This Row],[Revenue]], 0)</f>
        <v>0.54626535519125685</v>
      </c>
      <c r="I21" s="5" t="str" cm="1">
        <f t="array" ref="I2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1" s="5">
        <f>_xlfn.XLOOKUP(tbl_raw[[#This Row],[Kategori]], tbl_target[Kategori], tbl_target[Target_Margin], 0)</f>
        <v>0.4</v>
      </c>
      <c r="K21" t="s">
        <v>48</v>
      </c>
      <c r="L21" t="s">
        <v>49</v>
      </c>
      <c r="M21">
        <v>15261848</v>
      </c>
    </row>
    <row r="22" spans="1:13" x14ac:dyDescent="0.3">
      <c r="A22" t="s">
        <v>47</v>
      </c>
      <c r="B22" t="s">
        <v>11</v>
      </c>
      <c r="C22" t="s">
        <v>12</v>
      </c>
      <c r="D22" t="s">
        <v>32</v>
      </c>
      <c r="E22">
        <v>9000000</v>
      </c>
      <c r="F22">
        <v>4946650</v>
      </c>
      <c r="G22">
        <v>4053350</v>
      </c>
      <c r="H22" s="5">
        <f>IFERROR((tbl_raw[[#This Row],[Revenue]]-tbl_raw[[#This Row],[COGS]]) / tbl_raw[[#This Row],[Revenue]], 0)</f>
        <v>0.45037222222222223</v>
      </c>
      <c r="I22" s="5" t="str" cm="1">
        <f t="array" ref="I2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2" s="5">
        <f>_xlfn.XLOOKUP(tbl_raw[[#This Row],[Kategori]], tbl_target[Kategori], tbl_target[Target_Margin], 0)</f>
        <v>0.25</v>
      </c>
      <c r="K22" t="s">
        <v>14</v>
      </c>
      <c r="L22" t="s">
        <v>19</v>
      </c>
      <c r="M22">
        <v>9271309</v>
      </c>
    </row>
    <row r="23" spans="1:13" x14ac:dyDescent="0.3">
      <c r="A23" t="s">
        <v>50</v>
      </c>
      <c r="B23" t="s">
        <v>11</v>
      </c>
      <c r="C23" t="s">
        <v>12</v>
      </c>
      <c r="D23" t="s">
        <v>13</v>
      </c>
      <c r="E23">
        <v>1600000</v>
      </c>
      <c r="F23">
        <v>727515</v>
      </c>
      <c r="G23">
        <v>872485</v>
      </c>
      <c r="H23" s="5">
        <f>IFERROR((tbl_raw[[#This Row],[Revenue]]-tbl_raw[[#This Row],[COGS]]) / tbl_raw[[#This Row],[Revenue]], 0)</f>
        <v>0.545303125</v>
      </c>
      <c r="I23" s="5" t="str" cm="1">
        <f t="array" ref="I2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3" s="5">
        <f>_xlfn.XLOOKUP(tbl_raw[[#This Row],[Kategori]], tbl_target[Kategori], tbl_target[Target_Margin], 0)</f>
        <v>0.25</v>
      </c>
      <c r="K23" t="s">
        <v>22</v>
      </c>
      <c r="L23" t="s">
        <v>15</v>
      </c>
      <c r="M23">
        <v>1536158</v>
      </c>
    </row>
    <row r="24" spans="1:13" x14ac:dyDescent="0.3">
      <c r="A24" t="s">
        <v>51</v>
      </c>
      <c r="B24" t="s">
        <v>11</v>
      </c>
      <c r="C24" t="s">
        <v>20</v>
      </c>
      <c r="D24" t="s">
        <v>30</v>
      </c>
      <c r="E24">
        <v>16500000</v>
      </c>
      <c r="F24">
        <v>8133279</v>
      </c>
      <c r="G24">
        <v>8366721</v>
      </c>
      <c r="H24" s="5">
        <f>IFERROR((tbl_raw[[#This Row],[Revenue]]-tbl_raw[[#This Row],[COGS]]) / tbl_raw[[#This Row],[Revenue]], 0)</f>
        <v>0.50707400000000002</v>
      </c>
      <c r="I24" s="5" t="str" cm="1">
        <f t="array" ref="I2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4" s="5">
        <f>_xlfn.XLOOKUP(tbl_raw[[#This Row],[Kategori]], tbl_target[Kategori], tbl_target[Target_Margin], 0)</f>
        <v>0.4</v>
      </c>
      <c r="K24" t="s">
        <v>48</v>
      </c>
      <c r="L24" t="s">
        <v>15</v>
      </c>
      <c r="M24">
        <v>18705213</v>
      </c>
    </row>
    <row r="25" spans="1:13" x14ac:dyDescent="0.3">
      <c r="A25" t="s">
        <v>51</v>
      </c>
      <c r="B25" t="s">
        <v>11</v>
      </c>
      <c r="C25" t="s">
        <v>12</v>
      </c>
      <c r="D25" t="s">
        <v>17</v>
      </c>
      <c r="E25">
        <v>18000000</v>
      </c>
      <c r="F25">
        <v>8350329</v>
      </c>
      <c r="G25">
        <v>9649671</v>
      </c>
      <c r="H25" s="5">
        <f>IFERROR((tbl_raw[[#This Row],[Revenue]]-tbl_raw[[#This Row],[COGS]]) / tbl_raw[[#This Row],[Revenue]], 0)</f>
        <v>0.53609283333333335</v>
      </c>
      <c r="I25" s="5" t="str" cm="1">
        <f t="array" ref="I2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5" s="5">
        <f>_xlfn.XLOOKUP(tbl_raw[[#This Row],[Kategori]], tbl_target[Kategori], tbl_target[Target_Margin], 0)</f>
        <v>0.25</v>
      </c>
      <c r="K25" t="s">
        <v>48</v>
      </c>
      <c r="L25" t="s">
        <v>31</v>
      </c>
      <c r="M25">
        <v>17283403</v>
      </c>
    </row>
    <row r="26" spans="1:13" x14ac:dyDescent="0.3">
      <c r="A26" t="s">
        <v>52</v>
      </c>
      <c r="B26" t="s">
        <v>11</v>
      </c>
      <c r="C26" t="s">
        <v>20</v>
      </c>
      <c r="D26" t="s">
        <v>40</v>
      </c>
      <c r="E26">
        <v>13000000</v>
      </c>
      <c r="F26">
        <v>5950197</v>
      </c>
      <c r="G26">
        <v>7049803</v>
      </c>
      <c r="H26" s="5">
        <f>IFERROR((tbl_raw[[#This Row],[Revenue]]-tbl_raw[[#This Row],[COGS]]) / tbl_raw[[#This Row],[Revenue]], 0)</f>
        <v>0.54229253846153846</v>
      </c>
      <c r="I26" s="5" t="str" cm="1">
        <f t="array" ref="I2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6" s="5">
        <f>_xlfn.XLOOKUP(tbl_raw[[#This Row],[Kategori]], tbl_target[Kategori], tbl_target[Target_Margin], 0)</f>
        <v>0.4</v>
      </c>
      <c r="K26" t="s">
        <v>48</v>
      </c>
      <c r="L26" t="s">
        <v>34</v>
      </c>
      <c r="M26">
        <v>15368373</v>
      </c>
    </row>
    <row r="27" spans="1:13" x14ac:dyDescent="0.3">
      <c r="A27" t="s">
        <v>53</v>
      </c>
      <c r="B27" t="s">
        <v>11</v>
      </c>
      <c r="C27" t="s">
        <v>12</v>
      </c>
      <c r="D27" t="s">
        <v>17</v>
      </c>
      <c r="E27">
        <v>4900000</v>
      </c>
      <c r="F27">
        <v>1905109</v>
      </c>
      <c r="G27">
        <v>2994891</v>
      </c>
      <c r="H27" s="5">
        <f>IFERROR((tbl_raw[[#This Row],[Revenue]]-tbl_raw[[#This Row],[COGS]]) / tbl_raw[[#This Row],[Revenue]], 0)</f>
        <v>0.61120224489795916</v>
      </c>
      <c r="I27" s="5" t="str" cm="1">
        <f t="array" ref="I2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7" s="5">
        <f>_xlfn.XLOOKUP(tbl_raw[[#This Row],[Kategori]], tbl_target[Kategori], tbl_target[Target_Margin], 0)</f>
        <v>0.25</v>
      </c>
      <c r="K27" t="s">
        <v>14</v>
      </c>
      <c r="L27" t="s">
        <v>25</v>
      </c>
      <c r="M27">
        <v>6260222</v>
      </c>
    </row>
    <row r="28" spans="1:13" x14ac:dyDescent="0.3">
      <c r="A28" t="s">
        <v>54</v>
      </c>
      <c r="B28" t="s">
        <v>11</v>
      </c>
      <c r="C28" t="s">
        <v>23</v>
      </c>
      <c r="D28" t="s">
        <v>27</v>
      </c>
      <c r="E28">
        <v>1100000</v>
      </c>
      <c r="F28">
        <v>598208</v>
      </c>
      <c r="G28">
        <v>501792</v>
      </c>
      <c r="H28" s="5">
        <f>IFERROR((tbl_raw[[#This Row],[Revenue]]-tbl_raw[[#This Row],[COGS]]) / tbl_raw[[#This Row],[Revenue]], 0)</f>
        <v>0.45617454545454544</v>
      </c>
      <c r="I28" s="5" t="str" cm="1">
        <f t="array" ref="I2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8" s="5">
        <f>_xlfn.XLOOKUP(tbl_raw[[#This Row],[Kategori]], tbl_target[Kategori], tbl_target[Target_Margin], 0)</f>
        <v>0.35</v>
      </c>
      <c r="K28" t="s">
        <v>22</v>
      </c>
      <c r="L28" t="s">
        <v>31</v>
      </c>
      <c r="M28">
        <v>1259985</v>
      </c>
    </row>
    <row r="29" spans="1:13" x14ac:dyDescent="0.3">
      <c r="A29" t="s">
        <v>55</v>
      </c>
      <c r="B29" t="s">
        <v>56</v>
      </c>
      <c r="C29" t="s">
        <v>20</v>
      </c>
      <c r="D29" t="s">
        <v>30</v>
      </c>
      <c r="E29">
        <v>4700000</v>
      </c>
      <c r="F29">
        <v>1973526</v>
      </c>
      <c r="G29">
        <v>2726474</v>
      </c>
      <c r="H29" s="5">
        <f>IFERROR((tbl_raw[[#This Row],[Revenue]]-tbl_raw[[#This Row],[COGS]]) / tbl_raw[[#This Row],[Revenue]], 0)</f>
        <v>0.5801008510638298</v>
      </c>
      <c r="I29" s="5" t="str" cm="1">
        <f t="array" ref="I2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9" s="5">
        <f>_xlfn.XLOOKUP(tbl_raw[[#This Row],[Kategori]], tbl_target[Kategori], tbl_target[Target_Margin], 0)</f>
        <v>0.4</v>
      </c>
      <c r="K29" t="s">
        <v>18</v>
      </c>
      <c r="L29" t="s">
        <v>19</v>
      </c>
      <c r="M29">
        <v>5033159</v>
      </c>
    </row>
    <row r="30" spans="1:13" x14ac:dyDescent="0.3">
      <c r="A30" t="s">
        <v>57</v>
      </c>
      <c r="B30" t="s">
        <v>56</v>
      </c>
      <c r="C30" t="s">
        <v>23</v>
      </c>
      <c r="D30" t="s">
        <v>58</v>
      </c>
      <c r="E30">
        <v>10800000</v>
      </c>
      <c r="F30">
        <v>4899970</v>
      </c>
      <c r="G30">
        <v>5900030</v>
      </c>
      <c r="H30" s="5">
        <f>IFERROR((tbl_raw[[#This Row],[Revenue]]-tbl_raw[[#This Row],[COGS]]) / tbl_raw[[#This Row],[Revenue]], 0)</f>
        <v>0.54629907407407408</v>
      </c>
      <c r="I30" s="5" t="str" cm="1">
        <f t="array" ref="I3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0" s="5">
        <f>_xlfn.XLOOKUP(tbl_raw[[#This Row],[Kategori]], tbl_target[Kategori], tbl_target[Target_Margin], 0)</f>
        <v>0.35</v>
      </c>
      <c r="K30" t="s">
        <v>18</v>
      </c>
      <c r="L30" t="s">
        <v>49</v>
      </c>
      <c r="M30">
        <v>9180902</v>
      </c>
    </row>
    <row r="31" spans="1:13" x14ac:dyDescent="0.3">
      <c r="A31" t="s">
        <v>59</v>
      </c>
      <c r="B31" t="s">
        <v>56</v>
      </c>
      <c r="C31" t="s">
        <v>20</v>
      </c>
      <c r="D31" t="s">
        <v>30</v>
      </c>
      <c r="E31">
        <v>16700000</v>
      </c>
      <c r="F31">
        <v>8487796</v>
      </c>
      <c r="G31">
        <v>8212204</v>
      </c>
      <c r="H31" s="5">
        <f>IFERROR((tbl_raw[[#This Row],[Revenue]]-tbl_raw[[#This Row],[COGS]]) / tbl_raw[[#This Row],[Revenue]], 0)</f>
        <v>0.49174874251497008</v>
      </c>
      <c r="I31" s="5" t="str" cm="1">
        <f t="array" ref="I3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1" s="5">
        <f>_xlfn.XLOOKUP(tbl_raw[[#This Row],[Kategori]], tbl_target[Kategori], tbl_target[Target_Margin], 0)</f>
        <v>0.4</v>
      </c>
      <c r="K31" t="s">
        <v>48</v>
      </c>
      <c r="L31" t="s">
        <v>31</v>
      </c>
      <c r="M31">
        <v>17998809</v>
      </c>
    </row>
    <row r="32" spans="1:13" x14ac:dyDescent="0.3">
      <c r="A32" t="s">
        <v>60</v>
      </c>
      <c r="B32" t="s">
        <v>56</v>
      </c>
      <c r="C32" t="s">
        <v>20</v>
      </c>
      <c r="D32" t="s">
        <v>40</v>
      </c>
      <c r="E32">
        <v>19200000</v>
      </c>
      <c r="F32">
        <v>8130952</v>
      </c>
      <c r="G32">
        <v>11069048</v>
      </c>
      <c r="H32" s="5">
        <f>IFERROR((tbl_raw[[#This Row],[Revenue]]-tbl_raw[[#This Row],[COGS]]) / tbl_raw[[#This Row],[Revenue]], 0)</f>
        <v>0.57651291666666671</v>
      </c>
      <c r="I32" s="5" t="str" cm="1">
        <f t="array" ref="I3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2" s="5">
        <f>_xlfn.XLOOKUP(tbl_raw[[#This Row],[Kategori]], tbl_target[Kategori], tbl_target[Target_Margin], 0)</f>
        <v>0.4</v>
      </c>
      <c r="K32" t="s">
        <v>36</v>
      </c>
      <c r="L32" t="s">
        <v>49</v>
      </c>
      <c r="M32">
        <v>20348930</v>
      </c>
    </row>
    <row r="33" spans="1:13" x14ac:dyDescent="0.3">
      <c r="A33" t="s">
        <v>61</v>
      </c>
      <c r="B33" t="s">
        <v>56</v>
      </c>
      <c r="C33" t="s">
        <v>23</v>
      </c>
      <c r="D33" t="s">
        <v>24</v>
      </c>
      <c r="E33">
        <v>17200000</v>
      </c>
      <c r="F33">
        <v>7149585</v>
      </c>
      <c r="G33">
        <v>10050415</v>
      </c>
      <c r="H33" s="5">
        <f>IFERROR((tbl_raw[[#This Row],[Revenue]]-tbl_raw[[#This Row],[COGS]]) / tbl_raw[[#This Row],[Revenue]], 0)</f>
        <v>0.58432645348837209</v>
      </c>
      <c r="I33" s="5" t="str" cm="1">
        <f t="array" ref="I3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3" s="5">
        <f>_xlfn.XLOOKUP(tbl_raw[[#This Row],[Kategori]], tbl_target[Kategori], tbl_target[Target_Margin], 0)</f>
        <v>0.35</v>
      </c>
      <c r="K33" t="s">
        <v>14</v>
      </c>
      <c r="L33" t="s">
        <v>31</v>
      </c>
      <c r="M33">
        <v>15789186</v>
      </c>
    </row>
    <row r="34" spans="1:13" x14ac:dyDescent="0.3">
      <c r="A34" t="s">
        <v>62</v>
      </c>
      <c r="B34" t="s">
        <v>56</v>
      </c>
      <c r="C34" t="s">
        <v>23</v>
      </c>
      <c r="D34" t="s">
        <v>27</v>
      </c>
      <c r="E34">
        <v>18000000</v>
      </c>
      <c r="F34">
        <v>7351478</v>
      </c>
      <c r="G34">
        <v>10648522</v>
      </c>
      <c r="H34" s="5">
        <f>IFERROR((tbl_raw[[#This Row],[Revenue]]-tbl_raw[[#This Row],[COGS]]) / tbl_raw[[#This Row],[Revenue]], 0)</f>
        <v>0.59158455555555556</v>
      </c>
      <c r="I34" s="5" t="str" cm="1">
        <f t="array" ref="I3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4" s="5">
        <f>_xlfn.XLOOKUP(tbl_raw[[#This Row],[Kategori]], tbl_target[Kategori], tbl_target[Target_Margin], 0)</f>
        <v>0.35</v>
      </c>
      <c r="K34" t="s">
        <v>14</v>
      </c>
      <c r="L34" t="s">
        <v>49</v>
      </c>
      <c r="M34">
        <v>17830920</v>
      </c>
    </row>
    <row r="35" spans="1:13" x14ac:dyDescent="0.3">
      <c r="A35" t="s">
        <v>62</v>
      </c>
      <c r="B35" t="s">
        <v>56</v>
      </c>
      <c r="C35" t="s">
        <v>23</v>
      </c>
      <c r="D35" t="s">
        <v>27</v>
      </c>
      <c r="E35">
        <v>8100000</v>
      </c>
      <c r="F35">
        <v>4181267</v>
      </c>
      <c r="G35">
        <v>3918733</v>
      </c>
      <c r="H35" s="5">
        <f>IFERROR((tbl_raw[[#This Row],[Revenue]]-tbl_raw[[#This Row],[COGS]]) / tbl_raw[[#This Row],[Revenue]], 0)</f>
        <v>0.48379419753086422</v>
      </c>
      <c r="I35" s="5" t="str" cm="1">
        <f t="array" ref="I3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5" s="5">
        <f>_xlfn.XLOOKUP(tbl_raw[[#This Row],[Kategori]], tbl_target[Kategori], tbl_target[Target_Margin], 0)</f>
        <v>0.35</v>
      </c>
      <c r="K35" t="s">
        <v>18</v>
      </c>
      <c r="L35" t="s">
        <v>34</v>
      </c>
      <c r="M35">
        <v>10523532</v>
      </c>
    </row>
    <row r="36" spans="1:13" x14ac:dyDescent="0.3">
      <c r="A36" t="s">
        <v>62</v>
      </c>
      <c r="B36" t="s">
        <v>56</v>
      </c>
      <c r="C36" t="s">
        <v>23</v>
      </c>
      <c r="D36" t="s">
        <v>27</v>
      </c>
      <c r="E36">
        <v>19300000</v>
      </c>
      <c r="F36">
        <v>10578956</v>
      </c>
      <c r="G36">
        <v>8721044</v>
      </c>
      <c r="H36" s="5">
        <f>IFERROR((tbl_raw[[#This Row],[Revenue]]-tbl_raw[[#This Row],[COGS]]) / tbl_raw[[#This Row],[Revenue]], 0)</f>
        <v>0.45186756476683937</v>
      </c>
      <c r="I36" s="5" t="str" cm="1">
        <f t="array" ref="I3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6" s="5">
        <f>_xlfn.XLOOKUP(tbl_raw[[#This Row],[Kategori]], tbl_target[Kategori], tbl_target[Target_Margin], 0)</f>
        <v>0.35</v>
      </c>
      <c r="K36" t="s">
        <v>22</v>
      </c>
      <c r="L36" t="s">
        <v>41</v>
      </c>
      <c r="M36">
        <v>20784588</v>
      </c>
    </row>
    <row r="37" spans="1:13" x14ac:dyDescent="0.3">
      <c r="A37" t="s">
        <v>63</v>
      </c>
      <c r="B37" t="s">
        <v>56</v>
      </c>
      <c r="C37" t="s">
        <v>12</v>
      </c>
      <c r="D37" t="s">
        <v>13</v>
      </c>
      <c r="E37">
        <v>11700000</v>
      </c>
      <c r="F37">
        <v>6587781</v>
      </c>
      <c r="G37">
        <v>5112219</v>
      </c>
      <c r="H37" s="5">
        <f>IFERROR((tbl_raw[[#This Row],[Revenue]]-tbl_raw[[#This Row],[COGS]]) / tbl_raw[[#This Row],[Revenue]], 0)</f>
        <v>0.43694179487179485</v>
      </c>
      <c r="I37" s="5" t="str" cm="1">
        <f t="array" ref="I3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7" s="5">
        <f>_xlfn.XLOOKUP(tbl_raw[[#This Row],[Kategori]], tbl_target[Kategori], tbl_target[Target_Margin], 0)</f>
        <v>0.25</v>
      </c>
      <c r="K37" t="s">
        <v>14</v>
      </c>
      <c r="L37" t="s">
        <v>49</v>
      </c>
      <c r="M37">
        <v>12714067</v>
      </c>
    </row>
    <row r="38" spans="1:13" x14ac:dyDescent="0.3">
      <c r="A38" t="s">
        <v>64</v>
      </c>
      <c r="B38" t="s">
        <v>56</v>
      </c>
      <c r="C38" t="s">
        <v>12</v>
      </c>
      <c r="D38" t="s">
        <v>32</v>
      </c>
      <c r="E38">
        <v>3300000</v>
      </c>
      <c r="F38">
        <v>1672191</v>
      </c>
      <c r="G38">
        <v>1627809</v>
      </c>
      <c r="H38" s="5">
        <f>IFERROR((tbl_raw[[#This Row],[Revenue]]-tbl_raw[[#This Row],[COGS]]) / tbl_raw[[#This Row],[Revenue]], 0)</f>
        <v>0.49327545454545457</v>
      </c>
      <c r="I38" s="5" t="str" cm="1">
        <f t="array" ref="I3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8" s="5">
        <f>_xlfn.XLOOKUP(tbl_raw[[#This Row],[Kategori]], tbl_target[Kategori], tbl_target[Target_Margin], 0)</f>
        <v>0.25</v>
      </c>
      <c r="K38" t="s">
        <v>48</v>
      </c>
      <c r="L38" t="s">
        <v>41</v>
      </c>
      <c r="M38">
        <v>3342752</v>
      </c>
    </row>
    <row r="39" spans="1:13" x14ac:dyDescent="0.3">
      <c r="A39" t="s">
        <v>65</v>
      </c>
      <c r="B39" t="s">
        <v>56</v>
      </c>
      <c r="C39" t="s">
        <v>12</v>
      </c>
      <c r="D39" t="s">
        <v>17</v>
      </c>
      <c r="E39">
        <v>19500000</v>
      </c>
      <c r="F39">
        <v>11373782</v>
      </c>
      <c r="G39">
        <v>8126218</v>
      </c>
      <c r="H39" s="5">
        <f>IFERROR((tbl_raw[[#This Row],[Revenue]]-tbl_raw[[#This Row],[COGS]]) / tbl_raw[[#This Row],[Revenue]], 0)</f>
        <v>0.4167291282051282</v>
      </c>
      <c r="I39" s="5" t="str" cm="1">
        <f t="array" ref="I3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9" s="5">
        <f>_xlfn.XLOOKUP(tbl_raw[[#This Row],[Kategori]], tbl_target[Kategori], tbl_target[Target_Margin], 0)</f>
        <v>0.25</v>
      </c>
      <c r="K39" t="s">
        <v>14</v>
      </c>
      <c r="L39" t="s">
        <v>28</v>
      </c>
      <c r="M39">
        <v>17604436</v>
      </c>
    </row>
    <row r="40" spans="1:13" x14ac:dyDescent="0.3">
      <c r="A40" t="s">
        <v>65</v>
      </c>
      <c r="B40" t="s">
        <v>56</v>
      </c>
      <c r="C40" t="s">
        <v>23</v>
      </c>
      <c r="D40" t="s">
        <v>58</v>
      </c>
      <c r="E40">
        <v>3200000</v>
      </c>
      <c r="F40">
        <v>1558792</v>
      </c>
      <c r="G40">
        <v>1641208</v>
      </c>
      <c r="H40" s="5">
        <f>IFERROR((tbl_raw[[#This Row],[Revenue]]-tbl_raw[[#This Row],[COGS]]) / tbl_raw[[#This Row],[Revenue]], 0)</f>
        <v>0.51287749999999999</v>
      </c>
      <c r="I40" s="5" t="str" cm="1">
        <f t="array" ref="I4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0" s="5">
        <f>_xlfn.XLOOKUP(tbl_raw[[#This Row],[Kategori]], tbl_target[Kategori], tbl_target[Target_Margin], 0)</f>
        <v>0.35</v>
      </c>
      <c r="K40" t="s">
        <v>22</v>
      </c>
      <c r="L40" t="s">
        <v>34</v>
      </c>
      <c r="M40">
        <v>2989462</v>
      </c>
    </row>
    <row r="41" spans="1:13" x14ac:dyDescent="0.3">
      <c r="A41" t="s">
        <v>65</v>
      </c>
      <c r="B41" t="s">
        <v>56</v>
      </c>
      <c r="C41" t="s">
        <v>23</v>
      </c>
      <c r="D41" t="s">
        <v>58</v>
      </c>
      <c r="E41">
        <v>5300000</v>
      </c>
      <c r="F41">
        <v>1859931</v>
      </c>
      <c r="G41">
        <v>3440069</v>
      </c>
      <c r="H41" s="5">
        <f>IFERROR((tbl_raw[[#This Row],[Revenue]]-tbl_raw[[#This Row],[COGS]]) / tbl_raw[[#This Row],[Revenue]], 0)</f>
        <v>0.64906962264150947</v>
      </c>
      <c r="I41" s="5" t="str" cm="1">
        <f t="array" ref="I4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1" s="5">
        <f>_xlfn.XLOOKUP(tbl_raw[[#This Row],[Kategori]], tbl_target[Kategori], tbl_target[Target_Margin], 0)</f>
        <v>0.35</v>
      </c>
      <c r="K41" t="s">
        <v>18</v>
      </c>
      <c r="L41" t="s">
        <v>19</v>
      </c>
      <c r="M41">
        <v>5181866</v>
      </c>
    </row>
    <row r="42" spans="1:13" x14ac:dyDescent="0.3">
      <c r="A42" t="s">
        <v>66</v>
      </c>
      <c r="B42" t="s">
        <v>56</v>
      </c>
      <c r="C42" t="s">
        <v>23</v>
      </c>
      <c r="D42" t="s">
        <v>27</v>
      </c>
      <c r="E42">
        <v>19900000</v>
      </c>
      <c r="F42">
        <v>8122511</v>
      </c>
      <c r="G42">
        <v>11777489</v>
      </c>
      <c r="H42" s="5">
        <f>IFERROR((tbl_raw[[#This Row],[Revenue]]-tbl_raw[[#This Row],[COGS]]) / tbl_raw[[#This Row],[Revenue]], 0)</f>
        <v>0.59183361809045221</v>
      </c>
      <c r="I42" s="5" t="str" cm="1">
        <f t="array" ref="I4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2" s="5">
        <f>_xlfn.XLOOKUP(tbl_raw[[#This Row],[Kategori]], tbl_target[Kategori], tbl_target[Target_Margin], 0)</f>
        <v>0.35</v>
      </c>
      <c r="K42" t="s">
        <v>48</v>
      </c>
      <c r="L42" t="s">
        <v>19</v>
      </c>
      <c r="M42">
        <v>17438675</v>
      </c>
    </row>
    <row r="43" spans="1:13" x14ac:dyDescent="0.3">
      <c r="A43" t="s">
        <v>67</v>
      </c>
      <c r="B43" t="s">
        <v>56</v>
      </c>
      <c r="C43" t="s">
        <v>12</v>
      </c>
      <c r="D43" t="s">
        <v>17</v>
      </c>
      <c r="E43">
        <v>6200000</v>
      </c>
      <c r="F43">
        <v>2697109</v>
      </c>
      <c r="G43">
        <v>3502891</v>
      </c>
      <c r="H43" s="5">
        <f>IFERROR((tbl_raw[[#This Row],[Revenue]]-tbl_raw[[#This Row],[COGS]]) / tbl_raw[[#This Row],[Revenue]], 0)</f>
        <v>0.56498241935483873</v>
      </c>
      <c r="I43" s="5" t="str" cm="1">
        <f t="array" ref="I4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3" s="5">
        <f>_xlfn.XLOOKUP(tbl_raw[[#This Row],[Kategori]], tbl_target[Kategori], tbl_target[Target_Margin], 0)</f>
        <v>0.25</v>
      </c>
      <c r="K43" t="s">
        <v>36</v>
      </c>
      <c r="L43" t="s">
        <v>25</v>
      </c>
      <c r="M43">
        <v>7077402</v>
      </c>
    </row>
    <row r="44" spans="1:13" x14ac:dyDescent="0.3">
      <c r="A44" t="s">
        <v>67</v>
      </c>
      <c r="B44" t="s">
        <v>56</v>
      </c>
      <c r="C44" t="s">
        <v>12</v>
      </c>
      <c r="D44" t="s">
        <v>32</v>
      </c>
      <c r="E44">
        <v>14700000</v>
      </c>
      <c r="F44">
        <v>7023085</v>
      </c>
      <c r="G44">
        <v>7676915</v>
      </c>
      <c r="H44" s="5">
        <f>IFERROR((tbl_raw[[#This Row],[Revenue]]-tbl_raw[[#This Row],[COGS]]) / tbl_raw[[#This Row],[Revenue]], 0)</f>
        <v>0.52223911564625847</v>
      </c>
      <c r="I44" s="5" t="str" cm="1">
        <f t="array" ref="I4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4" s="5">
        <f>_xlfn.XLOOKUP(tbl_raw[[#This Row],[Kategori]], tbl_target[Kategori], tbl_target[Target_Margin], 0)</f>
        <v>0.25</v>
      </c>
      <c r="K44" t="s">
        <v>22</v>
      </c>
      <c r="L44" t="s">
        <v>15</v>
      </c>
      <c r="M44">
        <v>14704470</v>
      </c>
    </row>
    <row r="45" spans="1:13" x14ac:dyDescent="0.3">
      <c r="A45" t="s">
        <v>68</v>
      </c>
      <c r="B45" t="s">
        <v>56</v>
      </c>
      <c r="C45" t="s">
        <v>12</v>
      </c>
      <c r="D45" t="s">
        <v>13</v>
      </c>
      <c r="E45">
        <v>7500000</v>
      </c>
      <c r="F45">
        <v>3639515</v>
      </c>
      <c r="G45">
        <v>3860485</v>
      </c>
      <c r="H45" s="5">
        <f>IFERROR((tbl_raw[[#This Row],[Revenue]]-tbl_raw[[#This Row],[COGS]]) / tbl_raw[[#This Row],[Revenue]], 0)</f>
        <v>0.51473133333333332</v>
      </c>
      <c r="I45" s="5" t="str" cm="1">
        <f t="array" ref="I4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5" s="5">
        <f>_xlfn.XLOOKUP(tbl_raw[[#This Row],[Kategori]], tbl_target[Kategori], tbl_target[Target_Margin], 0)</f>
        <v>0.25</v>
      </c>
      <c r="K45" t="s">
        <v>22</v>
      </c>
      <c r="L45" t="s">
        <v>41</v>
      </c>
      <c r="M45">
        <v>8464863</v>
      </c>
    </row>
    <row r="46" spans="1:13" x14ac:dyDescent="0.3">
      <c r="A46" t="s">
        <v>69</v>
      </c>
      <c r="B46" t="s">
        <v>56</v>
      </c>
      <c r="C46" t="s">
        <v>12</v>
      </c>
      <c r="D46" t="s">
        <v>17</v>
      </c>
      <c r="E46">
        <v>18100000</v>
      </c>
      <c r="F46">
        <v>6861397</v>
      </c>
      <c r="G46">
        <v>11238603</v>
      </c>
      <c r="H46" s="5">
        <f>IFERROR((tbl_raw[[#This Row],[Revenue]]-tbl_raw[[#This Row],[COGS]]) / tbl_raw[[#This Row],[Revenue]], 0)</f>
        <v>0.6209172928176796</v>
      </c>
      <c r="I46" s="5" t="str" cm="1">
        <f t="array" ref="I4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6" s="5">
        <f>_xlfn.XLOOKUP(tbl_raw[[#This Row],[Kategori]], tbl_target[Kategori], tbl_target[Target_Margin], 0)</f>
        <v>0.25</v>
      </c>
      <c r="K46" t="s">
        <v>48</v>
      </c>
      <c r="L46" t="s">
        <v>19</v>
      </c>
      <c r="M46">
        <v>17108497</v>
      </c>
    </row>
    <row r="47" spans="1:13" x14ac:dyDescent="0.3">
      <c r="A47" t="s">
        <v>70</v>
      </c>
      <c r="B47" t="s">
        <v>56</v>
      </c>
      <c r="C47" t="s">
        <v>20</v>
      </c>
      <c r="D47" t="s">
        <v>40</v>
      </c>
      <c r="E47">
        <v>2900000</v>
      </c>
      <c r="F47">
        <v>1099471</v>
      </c>
      <c r="G47">
        <v>1800529</v>
      </c>
      <c r="H47" s="5">
        <f>IFERROR((tbl_raw[[#This Row],[Revenue]]-tbl_raw[[#This Row],[COGS]]) / tbl_raw[[#This Row],[Revenue]], 0)</f>
        <v>0.62087206896551728</v>
      </c>
      <c r="I47" s="5" t="str" cm="1">
        <f t="array" ref="I4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7" s="5">
        <f>_xlfn.XLOOKUP(tbl_raw[[#This Row],[Kategori]], tbl_target[Kategori], tbl_target[Target_Margin], 0)</f>
        <v>0.4</v>
      </c>
      <c r="K47" t="s">
        <v>22</v>
      </c>
      <c r="L47" t="s">
        <v>49</v>
      </c>
      <c r="M47">
        <v>2506740</v>
      </c>
    </row>
    <row r="48" spans="1:13" x14ac:dyDescent="0.3">
      <c r="A48" t="s">
        <v>71</v>
      </c>
      <c r="B48" t="s">
        <v>56</v>
      </c>
      <c r="C48" t="s">
        <v>12</v>
      </c>
      <c r="D48" t="s">
        <v>32</v>
      </c>
      <c r="E48">
        <v>18300000</v>
      </c>
      <c r="F48">
        <v>10938713</v>
      </c>
      <c r="G48">
        <v>7361287</v>
      </c>
      <c r="H48" s="5">
        <f>IFERROR((tbl_raw[[#This Row],[Revenue]]-tbl_raw[[#This Row],[COGS]]) / tbl_raw[[#This Row],[Revenue]], 0)</f>
        <v>0.40225612021857926</v>
      </c>
      <c r="I48" s="5" t="str" cm="1">
        <f t="array" ref="I4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8" s="5">
        <f>_xlfn.XLOOKUP(tbl_raw[[#This Row],[Kategori]], tbl_target[Kategori], tbl_target[Target_Margin], 0)</f>
        <v>0.25</v>
      </c>
      <c r="K48" t="s">
        <v>48</v>
      </c>
      <c r="L48" t="s">
        <v>25</v>
      </c>
      <c r="M48">
        <v>17048039</v>
      </c>
    </row>
    <row r="49" spans="1:13" x14ac:dyDescent="0.3">
      <c r="A49" t="s">
        <v>72</v>
      </c>
      <c r="B49" t="s">
        <v>56</v>
      </c>
      <c r="C49" t="s">
        <v>23</v>
      </c>
      <c r="D49" t="s">
        <v>24</v>
      </c>
      <c r="E49">
        <v>17200000</v>
      </c>
      <c r="F49">
        <v>8820707</v>
      </c>
      <c r="G49">
        <v>8379293</v>
      </c>
      <c r="H49" s="5">
        <f>IFERROR((tbl_raw[[#This Row],[Revenue]]-tbl_raw[[#This Row],[COGS]]) / tbl_raw[[#This Row],[Revenue]], 0)</f>
        <v>0.4871681976744186</v>
      </c>
      <c r="I49" s="5" t="str" cm="1">
        <f t="array" ref="I4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9" s="5">
        <f>_xlfn.XLOOKUP(tbl_raw[[#This Row],[Kategori]], tbl_target[Kategori], tbl_target[Target_Margin], 0)</f>
        <v>0.35</v>
      </c>
      <c r="K49" t="s">
        <v>48</v>
      </c>
      <c r="L49" t="s">
        <v>28</v>
      </c>
      <c r="M49">
        <v>16349741</v>
      </c>
    </row>
    <row r="50" spans="1:13" x14ac:dyDescent="0.3">
      <c r="A50" t="s">
        <v>73</v>
      </c>
      <c r="B50" t="s">
        <v>56</v>
      </c>
      <c r="C50" t="s">
        <v>23</v>
      </c>
      <c r="D50" t="s">
        <v>27</v>
      </c>
      <c r="E50">
        <v>9100000</v>
      </c>
      <c r="F50">
        <v>4440101</v>
      </c>
      <c r="G50">
        <v>4659899</v>
      </c>
      <c r="H50" s="5">
        <f>IFERROR((tbl_raw[[#This Row],[Revenue]]-tbl_raw[[#This Row],[COGS]]) / tbl_raw[[#This Row],[Revenue]], 0)</f>
        <v>0.5120768131868132</v>
      </c>
      <c r="I50" s="5" t="str" cm="1">
        <f t="array" ref="I5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0" s="5">
        <f>_xlfn.XLOOKUP(tbl_raw[[#This Row],[Kategori]], tbl_target[Kategori], tbl_target[Target_Margin], 0)</f>
        <v>0.35</v>
      </c>
      <c r="K50" t="s">
        <v>36</v>
      </c>
      <c r="L50" t="s">
        <v>34</v>
      </c>
      <c r="M50">
        <v>7993073</v>
      </c>
    </row>
    <row r="51" spans="1:13" x14ac:dyDescent="0.3">
      <c r="A51" t="s">
        <v>74</v>
      </c>
      <c r="B51" t="s">
        <v>56</v>
      </c>
      <c r="C51" t="s">
        <v>12</v>
      </c>
      <c r="D51" t="s">
        <v>32</v>
      </c>
      <c r="E51">
        <v>10300000</v>
      </c>
      <c r="F51">
        <v>5889144</v>
      </c>
      <c r="G51">
        <v>4410856</v>
      </c>
      <c r="H51" s="5">
        <f>IFERROR((tbl_raw[[#This Row],[Revenue]]-tbl_raw[[#This Row],[COGS]]) / tbl_raw[[#This Row],[Revenue]], 0)</f>
        <v>0.42823844660194177</v>
      </c>
      <c r="I51" s="5" t="str" cm="1">
        <f t="array" ref="I5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1" s="5">
        <f>_xlfn.XLOOKUP(tbl_raw[[#This Row],[Kategori]], tbl_target[Kategori], tbl_target[Target_Margin], 0)</f>
        <v>0.25</v>
      </c>
      <c r="K51" t="s">
        <v>22</v>
      </c>
      <c r="L51" t="s">
        <v>28</v>
      </c>
      <c r="M51">
        <v>12731381</v>
      </c>
    </row>
    <row r="52" spans="1:13" x14ac:dyDescent="0.3">
      <c r="A52" t="s">
        <v>74</v>
      </c>
      <c r="B52" t="s">
        <v>56</v>
      </c>
      <c r="C52" t="s">
        <v>12</v>
      </c>
      <c r="D52" t="s">
        <v>17</v>
      </c>
      <c r="E52">
        <v>6600000</v>
      </c>
      <c r="F52">
        <v>2986802</v>
      </c>
      <c r="G52">
        <v>3613198</v>
      </c>
      <c r="H52" s="5">
        <f>IFERROR((tbl_raw[[#This Row],[Revenue]]-tbl_raw[[#This Row],[COGS]]) / tbl_raw[[#This Row],[Revenue]], 0)</f>
        <v>0.54745424242424245</v>
      </c>
      <c r="I52" s="5" t="str" cm="1">
        <f t="array" ref="I5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2" s="5">
        <f>_xlfn.XLOOKUP(tbl_raw[[#This Row],[Kategori]], tbl_target[Kategori], tbl_target[Target_Margin], 0)</f>
        <v>0.25</v>
      </c>
      <c r="K52" t="s">
        <v>14</v>
      </c>
      <c r="L52" t="s">
        <v>41</v>
      </c>
      <c r="M52">
        <v>8104884</v>
      </c>
    </row>
    <row r="53" spans="1:13" x14ac:dyDescent="0.3">
      <c r="A53" t="s">
        <v>75</v>
      </c>
      <c r="B53" t="s">
        <v>56</v>
      </c>
      <c r="C53" t="s">
        <v>20</v>
      </c>
      <c r="D53" t="s">
        <v>30</v>
      </c>
      <c r="E53">
        <v>4900000</v>
      </c>
      <c r="F53">
        <v>1761129</v>
      </c>
      <c r="G53">
        <v>3138871</v>
      </c>
      <c r="H53" s="5">
        <f>IFERROR((tbl_raw[[#This Row],[Revenue]]-tbl_raw[[#This Row],[COGS]]) / tbl_raw[[#This Row],[Revenue]], 0)</f>
        <v>0.64058591836734691</v>
      </c>
      <c r="I53" s="5" t="str" cm="1">
        <f t="array" ref="I5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3" s="5">
        <f>_xlfn.XLOOKUP(tbl_raw[[#This Row],[Kategori]], tbl_target[Kategori], tbl_target[Target_Margin], 0)</f>
        <v>0.4</v>
      </c>
      <c r="K53" t="s">
        <v>14</v>
      </c>
      <c r="L53" t="s">
        <v>41</v>
      </c>
      <c r="M53">
        <v>4028940</v>
      </c>
    </row>
    <row r="54" spans="1:13" x14ac:dyDescent="0.3">
      <c r="A54" t="s">
        <v>76</v>
      </c>
      <c r="B54" t="s">
        <v>56</v>
      </c>
      <c r="C54" t="s">
        <v>20</v>
      </c>
      <c r="D54" t="s">
        <v>40</v>
      </c>
      <c r="E54">
        <v>14700000</v>
      </c>
      <c r="F54">
        <v>5234027</v>
      </c>
      <c r="G54">
        <v>9465973</v>
      </c>
      <c r="H54" s="5">
        <f>IFERROR((tbl_raw[[#This Row],[Revenue]]-tbl_raw[[#This Row],[COGS]]) / tbl_raw[[#This Row],[Revenue]], 0)</f>
        <v>0.64394374149659861</v>
      </c>
      <c r="I54" s="5" t="str" cm="1">
        <f t="array" ref="I5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4" s="5">
        <f>_xlfn.XLOOKUP(tbl_raw[[#This Row],[Kategori]], tbl_target[Kategori], tbl_target[Target_Margin], 0)</f>
        <v>0.4</v>
      </c>
      <c r="K54" t="s">
        <v>48</v>
      </c>
      <c r="L54" t="s">
        <v>41</v>
      </c>
      <c r="M54">
        <v>16485333</v>
      </c>
    </row>
    <row r="55" spans="1:13" x14ac:dyDescent="0.3">
      <c r="A55" t="s">
        <v>77</v>
      </c>
      <c r="B55" t="s">
        <v>56</v>
      </c>
      <c r="C55" t="s">
        <v>20</v>
      </c>
      <c r="D55" t="s">
        <v>30</v>
      </c>
      <c r="E55">
        <v>600000</v>
      </c>
      <c r="F55">
        <v>296482</v>
      </c>
      <c r="G55">
        <v>303518</v>
      </c>
      <c r="H55" s="5">
        <f>IFERROR((tbl_raw[[#This Row],[Revenue]]-tbl_raw[[#This Row],[COGS]]) / tbl_raw[[#This Row],[Revenue]], 0)</f>
        <v>0.50586333333333333</v>
      </c>
      <c r="I55" s="5" t="str" cm="1">
        <f t="array" ref="I5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5" s="5">
        <f>_xlfn.XLOOKUP(tbl_raw[[#This Row],[Kategori]], tbl_target[Kategori], tbl_target[Target_Margin], 0)</f>
        <v>0.4</v>
      </c>
      <c r="K55" t="s">
        <v>22</v>
      </c>
      <c r="L55" t="s">
        <v>25</v>
      </c>
      <c r="M55">
        <v>777653</v>
      </c>
    </row>
    <row r="56" spans="1:13" x14ac:dyDescent="0.3">
      <c r="A56" t="s">
        <v>78</v>
      </c>
      <c r="B56" t="s">
        <v>79</v>
      </c>
      <c r="C56" t="s">
        <v>23</v>
      </c>
      <c r="D56" t="s">
        <v>58</v>
      </c>
      <c r="E56">
        <v>15900000</v>
      </c>
      <c r="F56">
        <v>5846877</v>
      </c>
      <c r="G56">
        <v>10053123</v>
      </c>
      <c r="H56" s="5">
        <f>IFERROR((tbl_raw[[#This Row],[Revenue]]-tbl_raw[[#This Row],[COGS]]) / tbl_raw[[#This Row],[Revenue]], 0)</f>
        <v>0.63227188679245283</v>
      </c>
      <c r="I56" s="5" t="str" cm="1">
        <f t="array" ref="I5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6" s="5">
        <f>_xlfn.XLOOKUP(tbl_raw[[#This Row],[Kategori]], tbl_target[Kategori], tbl_target[Target_Margin], 0)</f>
        <v>0.35</v>
      </c>
      <c r="K56" t="s">
        <v>14</v>
      </c>
      <c r="L56" t="s">
        <v>28</v>
      </c>
      <c r="M56">
        <v>13699230</v>
      </c>
    </row>
    <row r="57" spans="1:13" x14ac:dyDescent="0.3">
      <c r="A57" t="s">
        <v>78</v>
      </c>
      <c r="B57" t="s">
        <v>79</v>
      </c>
      <c r="C57" t="s">
        <v>12</v>
      </c>
      <c r="D57" t="s">
        <v>13</v>
      </c>
      <c r="E57">
        <v>13400000</v>
      </c>
      <c r="F57">
        <v>6081967</v>
      </c>
      <c r="G57">
        <v>7318033</v>
      </c>
      <c r="H57" s="5">
        <f>IFERROR((tbl_raw[[#This Row],[Revenue]]-tbl_raw[[#This Row],[COGS]]) / tbl_raw[[#This Row],[Revenue]], 0)</f>
        <v>0.54612186567164178</v>
      </c>
      <c r="I57" s="5" t="str" cm="1">
        <f t="array" ref="I5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7" s="5">
        <f>_xlfn.XLOOKUP(tbl_raw[[#This Row],[Kategori]], tbl_target[Kategori], tbl_target[Target_Margin], 0)</f>
        <v>0.25</v>
      </c>
      <c r="K57" t="s">
        <v>14</v>
      </c>
      <c r="L57" t="s">
        <v>41</v>
      </c>
      <c r="M57">
        <v>15773742</v>
      </c>
    </row>
    <row r="58" spans="1:13" x14ac:dyDescent="0.3">
      <c r="A58" t="s">
        <v>80</v>
      </c>
      <c r="B58" t="s">
        <v>79</v>
      </c>
      <c r="C58" t="s">
        <v>12</v>
      </c>
      <c r="D58" t="s">
        <v>17</v>
      </c>
      <c r="E58">
        <v>4100000</v>
      </c>
      <c r="F58">
        <v>1927955</v>
      </c>
      <c r="G58">
        <v>2172045</v>
      </c>
      <c r="H58" s="5">
        <f>IFERROR((tbl_raw[[#This Row],[Revenue]]-tbl_raw[[#This Row],[COGS]]) / tbl_raw[[#This Row],[Revenue]], 0)</f>
        <v>0.52976707317073168</v>
      </c>
      <c r="I58" s="5" t="str" cm="1">
        <f t="array" ref="I5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8" s="5">
        <f>_xlfn.XLOOKUP(tbl_raw[[#This Row],[Kategori]], tbl_target[Kategori], tbl_target[Target_Margin], 0)</f>
        <v>0.25</v>
      </c>
      <c r="K58" t="s">
        <v>48</v>
      </c>
      <c r="L58" t="s">
        <v>34</v>
      </c>
      <c r="M58">
        <v>3608518</v>
      </c>
    </row>
    <row r="59" spans="1:13" x14ac:dyDescent="0.3">
      <c r="A59" t="s">
        <v>81</v>
      </c>
      <c r="B59" t="s">
        <v>79</v>
      </c>
      <c r="C59" t="s">
        <v>23</v>
      </c>
      <c r="D59" t="s">
        <v>24</v>
      </c>
      <c r="E59">
        <v>12200000</v>
      </c>
      <c r="F59">
        <v>5869060</v>
      </c>
      <c r="G59">
        <v>6330940</v>
      </c>
      <c r="H59" s="5">
        <f>IFERROR((tbl_raw[[#This Row],[Revenue]]-tbl_raw[[#This Row],[COGS]]) / tbl_raw[[#This Row],[Revenue]], 0)</f>
        <v>0.51892950819672135</v>
      </c>
      <c r="I59" s="5" t="str" cm="1">
        <f t="array" ref="I5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9" s="5">
        <f>_xlfn.XLOOKUP(tbl_raw[[#This Row],[Kategori]], tbl_target[Kategori], tbl_target[Target_Margin], 0)</f>
        <v>0.35</v>
      </c>
      <c r="K59" t="s">
        <v>22</v>
      </c>
      <c r="L59" t="s">
        <v>28</v>
      </c>
      <c r="M59">
        <v>11003423</v>
      </c>
    </row>
    <row r="60" spans="1:13" x14ac:dyDescent="0.3">
      <c r="A60" t="s">
        <v>82</v>
      </c>
      <c r="B60" t="s">
        <v>79</v>
      </c>
      <c r="C60" t="s">
        <v>23</v>
      </c>
      <c r="D60" t="s">
        <v>27</v>
      </c>
      <c r="E60">
        <v>9200000</v>
      </c>
      <c r="F60">
        <v>3588781</v>
      </c>
      <c r="G60">
        <v>5611219</v>
      </c>
      <c r="H60" s="5">
        <f>IFERROR((tbl_raw[[#This Row],[Revenue]]-tbl_raw[[#This Row],[COGS]]) / tbl_raw[[#This Row],[Revenue]], 0)</f>
        <v>0.60991510869565213</v>
      </c>
      <c r="I60" s="5" t="str" cm="1">
        <f t="array" ref="I6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0" s="5">
        <f>_xlfn.XLOOKUP(tbl_raw[[#This Row],[Kategori]], tbl_target[Kategori], tbl_target[Target_Margin], 0)</f>
        <v>0.35</v>
      </c>
      <c r="K60" t="s">
        <v>14</v>
      </c>
      <c r="L60" t="s">
        <v>25</v>
      </c>
      <c r="M60">
        <v>11110002</v>
      </c>
    </row>
    <row r="61" spans="1:13" x14ac:dyDescent="0.3">
      <c r="A61" t="s">
        <v>83</v>
      </c>
      <c r="B61" t="s">
        <v>79</v>
      </c>
      <c r="C61" t="s">
        <v>23</v>
      </c>
      <c r="D61" t="s">
        <v>27</v>
      </c>
      <c r="E61">
        <v>4300000</v>
      </c>
      <c r="F61">
        <v>1614922</v>
      </c>
      <c r="G61">
        <v>2685078</v>
      </c>
      <c r="H61" s="5">
        <f>IFERROR((tbl_raw[[#This Row],[Revenue]]-tbl_raw[[#This Row],[COGS]]) / tbl_raw[[#This Row],[Revenue]], 0)</f>
        <v>0.62443674418604656</v>
      </c>
      <c r="I61" s="5" t="str" cm="1">
        <f t="array" ref="I6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1" s="5">
        <f>_xlfn.XLOOKUP(tbl_raw[[#This Row],[Kategori]], tbl_target[Kategori], tbl_target[Target_Margin], 0)</f>
        <v>0.35</v>
      </c>
      <c r="K61" t="s">
        <v>48</v>
      </c>
      <c r="L61" t="s">
        <v>31</v>
      </c>
      <c r="M61">
        <v>3791270</v>
      </c>
    </row>
    <row r="62" spans="1:13" x14ac:dyDescent="0.3">
      <c r="A62" t="s">
        <v>84</v>
      </c>
      <c r="B62" t="s">
        <v>79</v>
      </c>
      <c r="C62" t="s">
        <v>23</v>
      </c>
      <c r="D62" t="s">
        <v>27</v>
      </c>
      <c r="E62">
        <v>14800000</v>
      </c>
      <c r="F62">
        <v>6839332</v>
      </c>
      <c r="G62">
        <v>7960668</v>
      </c>
      <c r="H62" s="5">
        <f>IFERROR((tbl_raw[[#This Row],[Revenue]]-tbl_raw[[#This Row],[COGS]]) / tbl_raw[[#This Row],[Revenue]], 0)</f>
        <v>0.53788297297297294</v>
      </c>
      <c r="I62" s="5" t="str" cm="1">
        <f t="array" ref="I6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2" s="5">
        <f>_xlfn.XLOOKUP(tbl_raw[[#This Row],[Kategori]], tbl_target[Kategori], tbl_target[Target_Margin], 0)</f>
        <v>0.35</v>
      </c>
      <c r="K62" t="s">
        <v>18</v>
      </c>
      <c r="L62" t="s">
        <v>41</v>
      </c>
      <c r="M62">
        <v>16652054</v>
      </c>
    </row>
    <row r="63" spans="1:13" x14ac:dyDescent="0.3">
      <c r="A63" t="s">
        <v>84</v>
      </c>
      <c r="B63" t="s">
        <v>79</v>
      </c>
      <c r="C63" t="s">
        <v>12</v>
      </c>
      <c r="D63" t="s">
        <v>13</v>
      </c>
      <c r="E63">
        <v>10100000</v>
      </c>
      <c r="F63">
        <v>3610492</v>
      </c>
      <c r="G63">
        <v>6489508</v>
      </c>
      <c r="H63" s="5">
        <f>IFERROR((tbl_raw[[#This Row],[Revenue]]-tbl_raw[[#This Row],[COGS]]) / tbl_raw[[#This Row],[Revenue]], 0)</f>
        <v>0.64252554455445543</v>
      </c>
      <c r="I63" s="5" t="str" cm="1">
        <f t="array" ref="I6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3" s="5">
        <f>_xlfn.XLOOKUP(tbl_raw[[#This Row],[Kategori]], tbl_target[Kategori], tbl_target[Target_Margin], 0)</f>
        <v>0.25</v>
      </c>
      <c r="K63" t="s">
        <v>36</v>
      </c>
      <c r="L63" t="s">
        <v>34</v>
      </c>
      <c r="M63">
        <v>10591988</v>
      </c>
    </row>
    <row r="64" spans="1:13" x14ac:dyDescent="0.3">
      <c r="A64" t="s">
        <v>85</v>
      </c>
      <c r="B64" t="s">
        <v>79</v>
      </c>
      <c r="C64" t="s">
        <v>20</v>
      </c>
      <c r="D64" t="s">
        <v>30</v>
      </c>
      <c r="E64">
        <v>18500000</v>
      </c>
      <c r="F64">
        <v>10598883</v>
      </c>
      <c r="G64">
        <v>7901117</v>
      </c>
      <c r="H64" s="5">
        <f>IFERROR((tbl_raw[[#This Row],[Revenue]]-tbl_raw[[#This Row],[COGS]]) / tbl_raw[[#This Row],[Revenue]], 0)</f>
        <v>0.42708740540540541</v>
      </c>
      <c r="I64" s="5" t="str" cm="1">
        <f t="array" ref="I6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4" s="5">
        <f>_xlfn.XLOOKUP(tbl_raw[[#This Row],[Kategori]], tbl_target[Kategori], tbl_target[Target_Margin], 0)</f>
        <v>0.4</v>
      </c>
      <c r="K64" t="s">
        <v>22</v>
      </c>
      <c r="L64" t="s">
        <v>19</v>
      </c>
      <c r="M64">
        <v>16146465</v>
      </c>
    </row>
    <row r="65" spans="1:13" x14ac:dyDescent="0.3">
      <c r="A65" t="s">
        <v>85</v>
      </c>
      <c r="B65" t="s">
        <v>79</v>
      </c>
      <c r="C65" t="s">
        <v>23</v>
      </c>
      <c r="D65" t="s">
        <v>27</v>
      </c>
      <c r="E65">
        <v>6900000</v>
      </c>
      <c r="F65">
        <v>3086989</v>
      </c>
      <c r="G65">
        <v>3813011</v>
      </c>
      <c r="H65" s="5">
        <f>IFERROR((tbl_raw[[#This Row],[Revenue]]-tbl_raw[[#This Row],[COGS]]) / tbl_raw[[#This Row],[Revenue]], 0)</f>
        <v>0.55261028985507243</v>
      </c>
      <c r="I65" s="5" t="str" cm="1">
        <f t="array" ref="I6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5" s="5">
        <f>_xlfn.XLOOKUP(tbl_raw[[#This Row],[Kategori]], tbl_target[Kategori], tbl_target[Target_Margin], 0)</f>
        <v>0.35</v>
      </c>
      <c r="K65" t="s">
        <v>36</v>
      </c>
      <c r="L65" t="s">
        <v>34</v>
      </c>
      <c r="M65">
        <v>8323189</v>
      </c>
    </row>
    <row r="66" spans="1:13" x14ac:dyDescent="0.3">
      <c r="A66" t="s">
        <v>85</v>
      </c>
      <c r="B66" t="s">
        <v>79</v>
      </c>
      <c r="C66" t="s">
        <v>12</v>
      </c>
      <c r="D66" t="s">
        <v>13</v>
      </c>
      <c r="E66">
        <v>1900000</v>
      </c>
      <c r="F66">
        <v>955732</v>
      </c>
      <c r="G66">
        <v>944268</v>
      </c>
      <c r="H66" s="5">
        <f>IFERROR((tbl_raw[[#This Row],[Revenue]]-tbl_raw[[#This Row],[COGS]]) / tbl_raw[[#This Row],[Revenue]], 0)</f>
        <v>0.49698315789473685</v>
      </c>
      <c r="I66" s="5" t="str" cm="1">
        <f t="array" ref="I6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6" s="5">
        <f>_xlfn.XLOOKUP(tbl_raw[[#This Row],[Kategori]], tbl_target[Kategori], tbl_target[Target_Margin], 0)</f>
        <v>0.25</v>
      </c>
      <c r="K66" t="s">
        <v>18</v>
      </c>
      <c r="L66" t="s">
        <v>31</v>
      </c>
      <c r="M66">
        <v>1785284</v>
      </c>
    </row>
    <row r="67" spans="1:13" x14ac:dyDescent="0.3">
      <c r="A67" t="s">
        <v>86</v>
      </c>
      <c r="B67" t="s">
        <v>79</v>
      </c>
      <c r="C67" t="s">
        <v>23</v>
      </c>
      <c r="D67" t="s">
        <v>58</v>
      </c>
      <c r="E67">
        <v>5000000</v>
      </c>
      <c r="F67">
        <v>2417441</v>
      </c>
      <c r="G67">
        <v>2582559</v>
      </c>
      <c r="H67" s="5">
        <f>IFERROR((tbl_raw[[#This Row],[Revenue]]-tbl_raw[[#This Row],[COGS]]) / tbl_raw[[#This Row],[Revenue]], 0)</f>
        <v>0.51651179999999997</v>
      </c>
      <c r="I67" s="5" t="str" cm="1">
        <f t="array" ref="I6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7" s="5">
        <f>_xlfn.XLOOKUP(tbl_raw[[#This Row],[Kategori]], tbl_target[Kategori], tbl_target[Target_Margin], 0)</f>
        <v>0.35</v>
      </c>
      <c r="K67" t="s">
        <v>14</v>
      </c>
      <c r="L67" t="s">
        <v>19</v>
      </c>
      <c r="M67">
        <v>5947648</v>
      </c>
    </row>
    <row r="68" spans="1:13" x14ac:dyDescent="0.3">
      <c r="A68" t="s">
        <v>86</v>
      </c>
      <c r="B68" t="s">
        <v>79</v>
      </c>
      <c r="C68" t="s">
        <v>12</v>
      </c>
      <c r="D68" t="s">
        <v>17</v>
      </c>
      <c r="E68">
        <v>500000</v>
      </c>
      <c r="F68">
        <v>210900</v>
      </c>
      <c r="G68">
        <v>289100</v>
      </c>
      <c r="H68" s="5">
        <f>IFERROR((tbl_raw[[#This Row],[Revenue]]-tbl_raw[[#This Row],[COGS]]) / tbl_raw[[#This Row],[Revenue]], 0)</f>
        <v>0.57820000000000005</v>
      </c>
      <c r="I68" s="5" t="str" cm="1">
        <f t="array" ref="I6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8" s="5">
        <f>_xlfn.XLOOKUP(tbl_raw[[#This Row],[Kategori]], tbl_target[Kategori], tbl_target[Target_Margin], 0)</f>
        <v>0.25</v>
      </c>
      <c r="K68" t="s">
        <v>36</v>
      </c>
      <c r="L68" t="s">
        <v>34</v>
      </c>
      <c r="M68">
        <v>532223</v>
      </c>
    </row>
    <row r="69" spans="1:13" x14ac:dyDescent="0.3">
      <c r="A69" t="s">
        <v>87</v>
      </c>
      <c r="B69" t="s">
        <v>79</v>
      </c>
      <c r="C69" t="s">
        <v>23</v>
      </c>
      <c r="D69" t="s">
        <v>27</v>
      </c>
      <c r="E69">
        <v>11900000</v>
      </c>
      <c r="F69">
        <v>5915830</v>
      </c>
      <c r="G69">
        <v>5984170</v>
      </c>
      <c r="H69" s="5">
        <f>IFERROR((tbl_raw[[#This Row],[Revenue]]-tbl_raw[[#This Row],[COGS]]) / tbl_raw[[#This Row],[Revenue]], 0)</f>
        <v>0.50287142857142852</v>
      </c>
      <c r="I69" s="5" t="str" cm="1">
        <f t="array" ref="I6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9" s="5">
        <f>_xlfn.XLOOKUP(tbl_raw[[#This Row],[Kategori]], tbl_target[Kategori], tbl_target[Target_Margin], 0)</f>
        <v>0.35</v>
      </c>
      <c r="K69" t="s">
        <v>22</v>
      </c>
      <c r="L69" t="s">
        <v>28</v>
      </c>
      <c r="M69">
        <v>13485892</v>
      </c>
    </row>
    <row r="70" spans="1:13" x14ac:dyDescent="0.3">
      <c r="A70" t="s">
        <v>88</v>
      </c>
      <c r="B70" t="s">
        <v>79</v>
      </c>
      <c r="C70" t="s">
        <v>20</v>
      </c>
      <c r="D70" t="s">
        <v>30</v>
      </c>
      <c r="E70">
        <v>12300000</v>
      </c>
      <c r="F70">
        <v>5149829</v>
      </c>
      <c r="G70">
        <v>7150171</v>
      </c>
      <c r="H70" s="5">
        <f>IFERROR((tbl_raw[[#This Row],[Revenue]]-tbl_raw[[#This Row],[COGS]]) / tbl_raw[[#This Row],[Revenue]], 0)</f>
        <v>0.58131471544715452</v>
      </c>
      <c r="I70" s="5" t="str" cm="1">
        <f t="array" ref="I7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70" s="5">
        <f>_xlfn.XLOOKUP(tbl_raw[[#This Row],[Kategori]], tbl_target[Kategori], tbl_target[Target_Margin], 0)</f>
        <v>0.4</v>
      </c>
      <c r="K70" t="s">
        <v>14</v>
      </c>
      <c r="L70" t="s">
        <v>49</v>
      </c>
      <c r="M70">
        <v>13315057</v>
      </c>
    </row>
    <row r="71" spans="1:13" x14ac:dyDescent="0.3">
      <c r="A71" t="s">
        <v>88</v>
      </c>
      <c r="B71" t="s">
        <v>79</v>
      </c>
      <c r="C71" t="s">
        <v>23</v>
      </c>
      <c r="D71" t="s">
        <v>24</v>
      </c>
      <c r="E71">
        <v>600000</v>
      </c>
      <c r="F71">
        <v>226024</v>
      </c>
      <c r="G71">
        <v>373976</v>
      </c>
      <c r="H71" s="5">
        <f>IFERROR((tbl_raw[[#This Row],[Revenue]]-tbl_raw[[#This Row],[COGS]]) / tbl_raw[[#This Row],[Revenue]], 0)</f>
        <v>0.62329333333333337</v>
      </c>
      <c r="I71" s="5" t="str" cm="1">
        <f t="array" ref="I7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71" s="5">
        <f>_xlfn.XLOOKUP(tbl_raw[[#This Row],[Kategori]], tbl_target[Kategori], tbl_target[Target_Margin], 0)</f>
        <v>0.35</v>
      </c>
      <c r="K71" t="s">
        <v>36</v>
      </c>
      <c r="L71" t="s">
        <v>19</v>
      </c>
      <c r="M71">
        <v>623093</v>
      </c>
    </row>
    <row r="72" spans="1:13" x14ac:dyDescent="0.3">
      <c r="A72" t="s">
        <v>89</v>
      </c>
      <c r="B72" t="s">
        <v>79</v>
      </c>
      <c r="C72" t="s">
        <v>12</v>
      </c>
      <c r="D72" t="s">
        <v>32</v>
      </c>
      <c r="E72">
        <v>18100000</v>
      </c>
      <c r="F72">
        <v>7782775</v>
      </c>
      <c r="G72">
        <v>10317225</v>
      </c>
      <c r="H72" s="5">
        <f>IFERROR((tbl_raw[[#This Row],[Revenue]]-tbl_raw[[#This Row],[COGS]]) / tbl_raw[[#This Row],[Revenue]], 0)</f>
        <v>0.57001243093922649</v>
      </c>
      <c r="I72" s="5" t="str" cm="1">
        <f t="array" ref="I7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72" s="5">
        <f>_xlfn.XLOOKUP(tbl_raw[[#This Row],[Kategori]], tbl_target[Kategori], tbl_target[Target_Margin], 0)</f>
        <v>0.25</v>
      </c>
      <c r="K72" t="s">
        <v>36</v>
      </c>
      <c r="L72" t="s">
        <v>34</v>
      </c>
      <c r="M72">
        <v>16645249</v>
      </c>
    </row>
    <row r="73" spans="1:13" x14ac:dyDescent="0.3">
      <c r="A73" t="s">
        <v>89</v>
      </c>
      <c r="B73" t="s">
        <v>79</v>
      </c>
      <c r="C73" t="s">
        <v>23</v>
      </c>
      <c r="D73" t="s">
        <v>58</v>
      </c>
      <c r="E73">
        <v>7500000</v>
      </c>
      <c r="F73">
        <v>3253483</v>
      </c>
      <c r="G73">
        <v>4246517</v>
      </c>
      <c r="H73" s="5">
        <f>IFERROR((tbl_raw[[#This Row],[Revenue]]-tbl_raw[[#This Row],[COGS]]) / tbl_raw[[#This Row],[Revenue]], 0)</f>
        <v>0.56620226666666662</v>
      </c>
      <c r="I73" s="5" t="str" cm="1">
        <f t="array" ref="I7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73" s="5">
        <f>_xlfn.XLOOKUP(tbl_raw[[#This Row],[Kategori]], tbl_target[Kategori], tbl_target[Target_Margin], 0)</f>
        <v>0.35</v>
      </c>
      <c r="K73" t="s">
        <v>22</v>
      </c>
      <c r="L73" t="s">
        <v>28</v>
      </c>
      <c r="M73">
        <v>7568508</v>
      </c>
    </row>
    <row r="74" spans="1:13" x14ac:dyDescent="0.3">
      <c r="A74" t="s">
        <v>89</v>
      </c>
      <c r="B74" t="s">
        <v>79</v>
      </c>
      <c r="C74" t="s">
        <v>23</v>
      </c>
      <c r="D74" t="s">
        <v>27</v>
      </c>
      <c r="E74">
        <v>15500000</v>
      </c>
      <c r="F74">
        <v>8897231</v>
      </c>
      <c r="G74">
        <v>6602769</v>
      </c>
      <c r="H74" s="5">
        <f>IFERROR((tbl_raw[[#This Row],[Revenue]]-tbl_raw[[#This Row],[COGS]]) / tbl_raw[[#This Row],[Revenue]], 0)</f>
        <v>0.42598509677419355</v>
      </c>
      <c r="I74" s="5" t="str" cm="1">
        <f t="array" ref="I7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74" s="5">
        <f>_xlfn.XLOOKUP(tbl_raw[[#This Row],[Kategori]], tbl_target[Kategori], tbl_target[Target_Margin], 0)</f>
        <v>0.35</v>
      </c>
      <c r="K74" t="s">
        <v>48</v>
      </c>
      <c r="L74" t="s">
        <v>19</v>
      </c>
      <c r="M74">
        <v>20105212</v>
      </c>
    </row>
    <row r="75" spans="1:13" x14ac:dyDescent="0.3">
      <c r="A75" t="s">
        <v>90</v>
      </c>
      <c r="B75" t="s">
        <v>79</v>
      </c>
      <c r="C75" t="s">
        <v>12</v>
      </c>
      <c r="D75" t="s">
        <v>13</v>
      </c>
      <c r="E75">
        <v>14700000</v>
      </c>
      <c r="F75">
        <v>7600341</v>
      </c>
      <c r="G75">
        <v>7099659</v>
      </c>
      <c r="H75" s="5">
        <f>IFERROR((tbl_raw[[#This Row],[Revenue]]-tbl_raw[[#This Row],[COGS]]) / tbl_raw[[#This Row],[Revenue]], 0)</f>
        <v>0.48297000000000001</v>
      </c>
      <c r="I75" s="5" t="str" cm="1">
        <f t="array" ref="I7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75" s="5">
        <f>_xlfn.XLOOKUP(tbl_raw[[#This Row],[Kategori]], tbl_target[Kategori], tbl_target[Target_Margin], 0)</f>
        <v>0.25</v>
      </c>
      <c r="K75" t="s">
        <v>14</v>
      </c>
      <c r="L75" t="s">
        <v>31</v>
      </c>
      <c r="M75">
        <v>13294347</v>
      </c>
    </row>
    <row r="76" spans="1:13" x14ac:dyDescent="0.3">
      <c r="A76" t="s">
        <v>90</v>
      </c>
      <c r="B76" t="s">
        <v>79</v>
      </c>
      <c r="C76" t="s">
        <v>23</v>
      </c>
      <c r="D76" t="s">
        <v>24</v>
      </c>
      <c r="E76">
        <v>5400000</v>
      </c>
      <c r="F76">
        <v>2989323</v>
      </c>
      <c r="G76">
        <v>2410677</v>
      </c>
      <c r="H76" s="5">
        <f>IFERROR((tbl_raw[[#This Row],[Revenue]]-tbl_raw[[#This Row],[COGS]]) / tbl_raw[[#This Row],[Revenue]], 0)</f>
        <v>0.44642166666666666</v>
      </c>
      <c r="I76" s="5" t="str" cm="1">
        <f t="array" ref="I7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76" s="5">
        <f>_xlfn.XLOOKUP(tbl_raw[[#This Row],[Kategori]], tbl_target[Kategori], tbl_target[Target_Margin], 0)</f>
        <v>0.35</v>
      </c>
      <c r="K76" t="s">
        <v>22</v>
      </c>
      <c r="L76" t="s">
        <v>49</v>
      </c>
      <c r="M76">
        <v>5224070</v>
      </c>
    </row>
    <row r="77" spans="1:13" x14ac:dyDescent="0.3">
      <c r="A77" t="s">
        <v>90</v>
      </c>
      <c r="B77" t="s">
        <v>79</v>
      </c>
      <c r="C77" t="s">
        <v>20</v>
      </c>
      <c r="D77" t="s">
        <v>30</v>
      </c>
      <c r="E77">
        <v>1100000</v>
      </c>
      <c r="F77">
        <v>423732</v>
      </c>
      <c r="G77">
        <v>676268</v>
      </c>
      <c r="H77" s="5">
        <f>IFERROR((tbl_raw[[#This Row],[Revenue]]-tbl_raw[[#This Row],[COGS]]) / tbl_raw[[#This Row],[Revenue]], 0)</f>
        <v>0.61478909090909095</v>
      </c>
      <c r="I77" s="5" t="str" cm="1">
        <f t="array" ref="I7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77" s="5">
        <f>_xlfn.XLOOKUP(tbl_raw[[#This Row],[Kategori]], tbl_target[Kategori], tbl_target[Target_Margin], 0)</f>
        <v>0.4</v>
      </c>
      <c r="K77" t="s">
        <v>22</v>
      </c>
      <c r="L77" t="s">
        <v>34</v>
      </c>
      <c r="M77">
        <v>1145018</v>
      </c>
    </row>
    <row r="78" spans="1:13" x14ac:dyDescent="0.3">
      <c r="A78" t="s">
        <v>91</v>
      </c>
      <c r="B78" t="s">
        <v>79</v>
      </c>
      <c r="C78" t="s">
        <v>23</v>
      </c>
      <c r="D78" t="s">
        <v>24</v>
      </c>
      <c r="E78">
        <v>19900000</v>
      </c>
      <c r="F78">
        <v>9476810</v>
      </c>
      <c r="G78">
        <v>10423190</v>
      </c>
      <c r="H78" s="5">
        <f>IFERROR((tbl_raw[[#This Row],[Revenue]]-tbl_raw[[#This Row],[COGS]]) / tbl_raw[[#This Row],[Revenue]], 0)</f>
        <v>0.52377839195979903</v>
      </c>
      <c r="I78" s="5" t="str" cm="1">
        <f t="array" ref="I7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78" s="5">
        <f>_xlfn.XLOOKUP(tbl_raw[[#This Row],[Kategori]], tbl_target[Kategori], tbl_target[Target_Margin], 0)</f>
        <v>0.35</v>
      </c>
      <c r="K78" t="s">
        <v>18</v>
      </c>
      <c r="L78" t="s">
        <v>34</v>
      </c>
      <c r="M78">
        <v>23466063</v>
      </c>
    </row>
    <row r="79" spans="1:13" x14ac:dyDescent="0.3">
      <c r="A79" t="s">
        <v>92</v>
      </c>
      <c r="B79" t="s">
        <v>79</v>
      </c>
      <c r="C79" t="s">
        <v>12</v>
      </c>
      <c r="D79" t="s">
        <v>32</v>
      </c>
      <c r="E79">
        <v>16500000</v>
      </c>
      <c r="F79">
        <v>7958500</v>
      </c>
      <c r="G79">
        <v>8541500</v>
      </c>
      <c r="H79" s="5">
        <f>IFERROR((tbl_raw[[#This Row],[Revenue]]-tbl_raw[[#This Row],[COGS]]) / tbl_raw[[#This Row],[Revenue]], 0)</f>
        <v>0.51766666666666672</v>
      </c>
      <c r="I79" s="5" t="str" cm="1">
        <f t="array" ref="I7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79" s="5">
        <f>_xlfn.XLOOKUP(tbl_raw[[#This Row],[Kategori]], tbl_target[Kategori], tbl_target[Target_Margin], 0)</f>
        <v>0.25</v>
      </c>
      <c r="K79" t="s">
        <v>48</v>
      </c>
      <c r="L79" t="s">
        <v>41</v>
      </c>
      <c r="M79">
        <v>17127363</v>
      </c>
    </row>
    <row r="80" spans="1:13" x14ac:dyDescent="0.3">
      <c r="A80" t="s">
        <v>92</v>
      </c>
      <c r="B80" t="s">
        <v>79</v>
      </c>
      <c r="C80" t="s">
        <v>20</v>
      </c>
      <c r="D80" t="s">
        <v>40</v>
      </c>
      <c r="E80">
        <v>11900000</v>
      </c>
      <c r="F80">
        <v>4200696</v>
      </c>
      <c r="G80">
        <v>7699304</v>
      </c>
      <c r="H80" s="5">
        <f>IFERROR((tbl_raw[[#This Row],[Revenue]]-tbl_raw[[#This Row],[COGS]]) / tbl_raw[[#This Row],[Revenue]], 0)</f>
        <v>0.64700033613445374</v>
      </c>
      <c r="I80" s="5" t="str" cm="1">
        <f t="array" ref="I8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80" s="5">
        <f>_xlfn.XLOOKUP(tbl_raw[[#This Row],[Kategori]], tbl_target[Kategori], tbl_target[Target_Margin], 0)</f>
        <v>0.4</v>
      </c>
      <c r="K80" t="s">
        <v>22</v>
      </c>
      <c r="L80" t="s">
        <v>19</v>
      </c>
      <c r="M80">
        <v>13948398</v>
      </c>
    </row>
    <row r="81" spans="1:13" x14ac:dyDescent="0.3">
      <c r="A81" t="s">
        <v>92</v>
      </c>
      <c r="B81" t="s">
        <v>79</v>
      </c>
      <c r="C81" t="s">
        <v>20</v>
      </c>
      <c r="D81" t="s">
        <v>21</v>
      </c>
      <c r="E81">
        <v>9200000</v>
      </c>
      <c r="F81">
        <v>4638636</v>
      </c>
      <c r="G81">
        <v>4561364</v>
      </c>
      <c r="H81" s="5">
        <f>IFERROR((tbl_raw[[#This Row],[Revenue]]-tbl_raw[[#This Row],[COGS]]) / tbl_raw[[#This Row],[Revenue]], 0)</f>
        <v>0.49580043478260871</v>
      </c>
      <c r="I81" s="5" t="str" cm="1">
        <f t="array" ref="I8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81" s="5">
        <f>_xlfn.XLOOKUP(tbl_raw[[#This Row],[Kategori]], tbl_target[Kategori], tbl_target[Target_Margin], 0)</f>
        <v>0.4</v>
      </c>
      <c r="K81" t="s">
        <v>36</v>
      </c>
      <c r="L81" t="s">
        <v>28</v>
      </c>
      <c r="M81">
        <v>11865507</v>
      </c>
    </row>
    <row r="82" spans="1:13" x14ac:dyDescent="0.3">
      <c r="A82" t="s">
        <v>92</v>
      </c>
      <c r="B82" t="s">
        <v>79</v>
      </c>
      <c r="C82" t="s">
        <v>23</v>
      </c>
      <c r="D82" t="s">
        <v>24</v>
      </c>
      <c r="E82">
        <v>3500000</v>
      </c>
      <c r="F82">
        <v>1354219</v>
      </c>
      <c r="G82">
        <v>2145781</v>
      </c>
      <c r="H82" s="5">
        <f>IFERROR((tbl_raw[[#This Row],[Revenue]]-tbl_raw[[#This Row],[COGS]]) / tbl_raw[[#This Row],[Revenue]], 0)</f>
        <v>0.61308028571428574</v>
      </c>
      <c r="I82" s="5" t="str" cm="1">
        <f t="array" ref="I8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82" s="5">
        <f>_xlfn.XLOOKUP(tbl_raw[[#This Row],[Kategori]], tbl_target[Kategori], tbl_target[Target_Margin], 0)</f>
        <v>0.35</v>
      </c>
      <c r="K82" t="s">
        <v>48</v>
      </c>
      <c r="L82" t="s">
        <v>15</v>
      </c>
      <c r="M82">
        <v>4546895</v>
      </c>
    </row>
    <row r="83" spans="1:13" x14ac:dyDescent="0.3">
      <c r="A83" t="s">
        <v>93</v>
      </c>
      <c r="B83" t="s">
        <v>79</v>
      </c>
      <c r="C83" t="s">
        <v>12</v>
      </c>
      <c r="D83" t="s">
        <v>17</v>
      </c>
      <c r="E83">
        <v>13300000</v>
      </c>
      <c r="F83">
        <v>6463789</v>
      </c>
      <c r="G83">
        <v>6836211</v>
      </c>
      <c r="H83" s="5">
        <f>IFERROR((tbl_raw[[#This Row],[Revenue]]-tbl_raw[[#This Row],[COGS]]) / tbl_raw[[#This Row],[Revenue]], 0)</f>
        <v>0.51400082706766914</v>
      </c>
      <c r="I83" s="5" t="str" cm="1">
        <f t="array" ref="I8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83" s="5">
        <f>_xlfn.XLOOKUP(tbl_raw[[#This Row],[Kategori]], tbl_target[Kategori], tbl_target[Target_Margin], 0)</f>
        <v>0.25</v>
      </c>
      <c r="K83" t="s">
        <v>14</v>
      </c>
      <c r="L83" t="s">
        <v>49</v>
      </c>
      <c r="M83">
        <v>14095132</v>
      </c>
    </row>
    <row r="84" spans="1:13" x14ac:dyDescent="0.3">
      <c r="A84" t="s">
        <v>94</v>
      </c>
      <c r="B84" t="s">
        <v>79</v>
      </c>
      <c r="C84" t="s">
        <v>23</v>
      </c>
      <c r="D84" t="s">
        <v>24</v>
      </c>
      <c r="E84">
        <v>18800000</v>
      </c>
      <c r="F84">
        <v>9547104</v>
      </c>
      <c r="G84">
        <v>9252896</v>
      </c>
      <c r="H84" s="5">
        <f>IFERROR((tbl_raw[[#This Row],[Revenue]]-tbl_raw[[#This Row],[COGS]]) / tbl_raw[[#This Row],[Revenue]], 0)</f>
        <v>0.4921753191489362</v>
      </c>
      <c r="I84" s="5" t="str" cm="1">
        <f t="array" ref="I8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84" s="5">
        <f>_xlfn.XLOOKUP(tbl_raw[[#This Row],[Kategori]], tbl_target[Kategori], tbl_target[Target_Margin], 0)</f>
        <v>0.35</v>
      </c>
      <c r="K84" t="s">
        <v>36</v>
      </c>
      <c r="L84" t="s">
        <v>19</v>
      </c>
      <c r="M84">
        <v>15923652</v>
      </c>
    </row>
    <row r="85" spans="1:13" x14ac:dyDescent="0.3">
      <c r="A85" t="s">
        <v>95</v>
      </c>
      <c r="B85" t="s">
        <v>79</v>
      </c>
      <c r="C85" t="s">
        <v>23</v>
      </c>
      <c r="D85" t="s">
        <v>27</v>
      </c>
      <c r="E85">
        <v>18700000</v>
      </c>
      <c r="F85">
        <v>10313010</v>
      </c>
      <c r="G85">
        <v>8386990</v>
      </c>
      <c r="H85" s="5">
        <f>IFERROR((tbl_raw[[#This Row],[Revenue]]-tbl_raw[[#This Row],[COGS]]) / tbl_raw[[#This Row],[Revenue]], 0)</f>
        <v>0.44850213903743313</v>
      </c>
      <c r="I85" s="5" t="str" cm="1">
        <f t="array" ref="I8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85" s="5">
        <f>_xlfn.XLOOKUP(tbl_raw[[#This Row],[Kategori]], tbl_target[Kategori], tbl_target[Target_Margin], 0)</f>
        <v>0.35</v>
      </c>
      <c r="K85" t="s">
        <v>36</v>
      </c>
      <c r="L85" t="s">
        <v>25</v>
      </c>
      <c r="M85">
        <v>17229658</v>
      </c>
    </row>
    <row r="86" spans="1:13" x14ac:dyDescent="0.3">
      <c r="A86" t="s">
        <v>96</v>
      </c>
      <c r="B86" t="s">
        <v>79</v>
      </c>
      <c r="C86" t="s">
        <v>20</v>
      </c>
      <c r="D86" t="s">
        <v>30</v>
      </c>
      <c r="E86">
        <v>5100000</v>
      </c>
      <c r="F86">
        <v>2070482</v>
      </c>
      <c r="G86">
        <v>3029518</v>
      </c>
      <c r="H86" s="5">
        <f>IFERROR((tbl_raw[[#This Row],[Revenue]]-tbl_raw[[#This Row],[COGS]]) / tbl_raw[[#This Row],[Revenue]], 0)</f>
        <v>0.59402313725490197</v>
      </c>
      <c r="I86" s="5" t="str" cm="1">
        <f t="array" ref="I8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86" s="5">
        <f>_xlfn.XLOOKUP(tbl_raw[[#This Row],[Kategori]], tbl_target[Kategori], tbl_target[Target_Margin], 0)</f>
        <v>0.4</v>
      </c>
      <c r="K86" t="s">
        <v>48</v>
      </c>
      <c r="L86" t="s">
        <v>31</v>
      </c>
      <c r="M86">
        <v>4970724</v>
      </c>
    </row>
    <row r="87" spans="1:13" x14ac:dyDescent="0.3">
      <c r="A87" t="s">
        <v>97</v>
      </c>
      <c r="B87" t="s">
        <v>79</v>
      </c>
      <c r="C87" t="s">
        <v>23</v>
      </c>
      <c r="D87" t="s">
        <v>27</v>
      </c>
      <c r="E87">
        <v>1800000</v>
      </c>
      <c r="F87">
        <v>779178</v>
      </c>
      <c r="G87">
        <v>1020822</v>
      </c>
      <c r="H87" s="5">
        <f>IFERROR((tbl_raw[[#This Row],[Revenue]]-tbl_raw[[#This Row],[COGS]]) / tbl_raw[[#This Row],[Revenue]], 0)</f>
        <v>0.56712333333333331</v>
      </c>
      <c r="I87" s="5" t="str" cm="1">
        <f t="array" ref="I8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87" s="5">
        <f>_xlfn.XLOOKUP(tbl_raw[[#This Row],[Kategori]], tbl_target[Kategori], tbl_target[Target_Margin], 0)</f>
        <v>0.35</v>
      </c>
      <c r="K87" t="s">
        <v>18</v>
      </c>
      <c r="L87" t="s">
        <v>25</v>
      </c>
      <c r="M87">
        <v>1520952</v>
      </c>
    </row>
    <row r="88" spans="1:13" x14ac:dyDescent="0.3">
      <c r="A88" t="s">
        <v>98</v>
      </c>
      <c r="B88" t="s">
        <v>79</v>
      </c>
      <c r="C88" t="s">
        <v>12</v>
      </c>
      <c r="D88" t="s">
        <v>13</v>
      </c>
      <c r="E88">
        <v>9600000</v>
      </c>
      <c r="F88">
        <v>4499101</v>
      </c>
      <c r="G88">
        <v>5100899</v>
      </c>
      <c r="H88" s="5">
        <f>IFERROR((tbl_raw[[#This Row],[Revenue]]-tbl_raw[[#This Row],[COGS]]) / tbl_raw[[#This Row],[Revenue]], 0)</f>
        <v>0.53134364583333338</v>
      </c>
      <c r="I88" s="5" t="str" cm="1">
        <f t="array" ref="I8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88" s="5">
        <f>_xlfn.XLOOKUP(tbl_raw[[#This Row],[Kategori]], tbl_target[Kategori], tbl_target[Target_Margin], 0)</f>
        <v>0.25</v>
      </c>
      <c r="K88" t="s">
        <v>48</v>
      </c>
      <c r="L88" t="s">
        <v>15</v>
      </c>
      <c r="M88">
        <v>10114145</v>
      </c>
    </row>
    <row r="89" spans="1:13" x14ac:dyDescent="0.3">
      <c r="A89" t="s">
        <v>99</v>
      </c>
      <c r="B89" t="s">
        <v>100</v>
      </c>
      <c r="C89" t="s">
        <v>12</v>
      </c>
      <c r="D89" t="s">
        <v>32</v>
      </c>
      <c r="E89">
        <v>16200000</v>
      </c>
      <c r="F89">
        <v>7849850</v>
      </c>
      <c r="G89">
        <v>8350150</v>
      </c>
      <c r="H89" s="5">
        <f>IFERROR((tbl_raw[[#This Row],[Revenue]]-tbl_raw[[#This Row],[COGS]]) / tbl_raw[[#This Row],[Revenue]], 0)</f>
        <v>0.51544135802469138</v>
      </c>
      <c r="I89" s="5" t="str" cm="1">
        <f t="array" ref="I8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89" s="5">
        <f>_xlfn.XLOOKUP(tbl_raw[[#This Row],[Kategori]], tbl_target[Kategori], tbl_target[Target_Margin], 0)</f>
        <v>0.25</v>
      </c>
      <c r="K89" t="s">
        <v>48</v>
      </c>
      <c r="L89" t="s">
        <v>19</v>
      </c>
      <c r="M89">
        <v>19481760</v>
      </c>
    </row>
    <row r="90" spans="1:13" x14ac:dyDescent="0.3">
      <c r="A90" t="s">
        <v>101</v>
      </c>
      <c r="B90" t="s">
        <v>100</v>
      </c>
      <c r="C90" t="s">
        <v>23</v>
      </c>
      <c r="D90" t="s">
        <v>58</v>
      </c>
      <c r="E90">
        <v>10700000</v>
      </c>
      <c r="F90">
        <v>4281624</v>
      </c>
      <c r="G90">
        <v>6418376</v>
      </c>
      <c r="H90" s="5">
        <f>IFERROR((tbl_raw[[#This Row],[Revenue]]-tbl_raw[[#This Row],[COGS]]) / tbl_raw[[#This Row],[Revenue]], 0)</f>
        <v>0.59984822429906537</v>
      </c>
      <c r="I90" s="5" t="str" cm="1">
        <f t="array" ref="I9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90" s="5">
        <f>_xlfn.XLOOKUP(tbl_raw[[#This Row],[Kategori]], tbl_target[Kategori], tbl_target[Target_Margin], 0)</f>
        <v>0.35</v>
      </c>
      <c r="K90" t="s">
        <v>22</v>
      </c>
      <c r="L90" t="s">
        <v>19</v>
      </c>
      <c r="M90">
        <v>10438923</v>
      </c>
    </row>
    <row r="91" spans="1:13" x14ac:dyDescent="0.3">
      <c r="A91" t="s">
        <v>102</v>
      </c>
      <c r="B91" t="s">
        <v>100</v>
      </c>
      <c r="C91" t="s">
        <v>20</v>
      </c>
      <c r="D91" t="s">
        <v>30</v>
      </c>
      <c r="E91">
        <v>500000</v>
      </c>
      <c r="F91">
        <v>229121</v>
      </c>
      <c r="G91">
        <v>270879</v>
      </c>
      <c r="H91" s="5">
        <f>IFERROR((tbl_raw[[#This Row],[Revenue]]-tbl_raw[[#This Row],[COGS]]) / tbl_raw[[#This Row],[Revenue]], 0)</f>
        <v>0.54175799999999996</v>
      </c>
      <c r="I91" s="5" t="str" cm="1">
        <f t="array" ref="I9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91" s="5">
        <f>_xlfn.XLOOKUP(tbl_raw[[#This Row],[Kategori]], tbl_target[Kategori], tbl_target[Target_Margin], 0)</f>
        <v>0.4</v>
      </c>
      <c r="K91" t="s">
        <v>48</v>
      </c>
      <c r="L91" t="s">
        <v>49</v>
      </c>
      <c r="M91">
        <v>571400</v>
      </c>
    </row>
    <row r="92" spans="1:13" x14ac:dyDescent="0.3">
      <c r="A92" t="s">
        <v>103</v>
      </c>
      <c r="B92" t="s">
        <v>100</v>
      </c>
      <c r="C92" t="s">
        <v>12</v>
      </c>
      <c r="D92" t="s">
        <v>32</v>
      </c>
      <c r="E92">
        <v>4200000</v>
      </c>
      <c r="F92">
        <v>1514126</v>
      </c>
      <c r="G92">
        <v>2685874</v>
      </c>
      <c r="H92" s="5">
        <f>IFERROR((tbl_raw[[#This Row],[Revenue]]-tbl_raw[[#This Row],[COGS]]) / tbl_raw[[#This Row],[Revenue]], 0)</f>
        <v>0.63949380952380952</v>
      </c>
      <c r="I92" s="5" t="str" cm="1">
        <f t="array" ref="I9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92" s="5">
        <f>_xlfn.XLOOKUP(tbl_raw[[#This Row],[Kategori]], tbl_target[Kategori], tbl_target[Target_Margin], 0)</f>
        <v>0.25</v>
      </c>
      <c r="K92" t="s">
        <v>14</v>
      </c>
      <c r="L92" t="s">
        <v>41</v>
      </c>
      <c r="M92">
        <v>3654716</v>
      </c>
    </row>
    <row r="93" spans="1:13" x14ac:dyDescent="0.3">
      <c r="A93" t="s">
        <v>104</v>
      </c>
      <c r="B93" t="s">
        <v>100</v>
      </c>
      <c r="C93" t="s">
        <v>12</v>
      </c>
      <c r="D93" t="s">
        <v>13</v>
      </c>
      <c r="E93">
        <v>10900000</v>
      </c>
      <c r="F93">
        <v>5937538</v>
      </c>
      <c r="G93">
        <v>4962462</v>
      </c>
      <c r="H93" s="5">
        <f>IFERROR((tbl_raw[[#This Row],[Revenue]]-tbl_raw[[#This Row],[COGS]]) / tbl_raw[[#This Row],[Revenue]], 0)</f>
        <v>0.45527174311926605</v>
      </c>
      <c r="I93" s="5" t="str" cm="1">
        <f t="array" ref="I9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93" s="5">
        <f>_xlfn.XLOOKUP(tbl_raw[[#This Row],[Kategori]], tbl_target[Kategori], tbl_target[Target_Margin], 0)</f>
        <v>0.25</v>
      </c>
      <c r="K93" t="s">
        <v>14</v>
      </c>
      <c r="L93" t="s">
        <v>49</v>
      </c>
      <c r="M93">
        <v>12645559</v>
      </c>
    </row>
    <row r="94" spans="1:13" x14ac:dyDescent="0.3">
      <c r="A94" t="s">
        <v>104</v>
      </c>
      <c r="B94" t="s">
        <v>100</v>
      </c>
      <c r="C94" t="s">
        <v>20</v>
      </c>
      <c r="D94" t="s">
        <v>30</v>
      </c>
      <c r="E94">
        <v>6500000</v>
      </c>
      <c r="F94">
        <v>2875237</v>
      </c>
      <c r="G94">
        <v>3624763</v>
      </c>
      <c r="H94" s="5">
        <f>IFERROR((tbl_raw[[#This Row],[Revenue]]-tbl_raw[[#This Row],[COGS]]) / tbl_raw[[#This Row],[Revenue]], 0)</f>
        <v>0.55765584615384611</v>
      </c>
      <c r="I94" s="5" t="str" cm="1">
        <f t="array" ref="I9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94" s="5">
        <f>_xlfn.XLOOKUP(tbl_raw[[#This Row],[Kategori]], tbl_target[Kategori], tbl_target[Target_Margin], 0)</f>
        <v>0.4</v>
      </c>
      <c r="K94" t="s">
        <v>14</v>
      </c>
      <c r="L94" t="s">
        <v>41</v>
      </c>
      <c r="M94">
        <v>7480905</v>
      </c>
    </row>
    <row r="95" spans="1:13" x14ac:dyDescent="0.3">
      <c r="A95" t="s">
        <v>105</v>
      </c>
      <c r="B95" t="s">
        <v>100</v>
      </c>
      <c r="C95" t="s">
        <v>12</v>
      </c>
      <c r="D95" t="s">
        <v>32</v>
      </c>
      <c r="E95">
        <v>16400000</v>
      </c>
      <c r="F95">
        <v>6544701</v>
      </c>
      <c r="G95">
        <v>9855299</v>
      </c>
      <c r="H95" s="5">
        <f>IFERROR((tbl_raw[[#This Row],[Revenue]]-tbl_raw[[#This Row],[COGS]]) / tbl_raw[[#This Row],[Revenue]], 0)</f>
        <v>0.60093286585365857</v>
      </c>
      <c r="I95" s="5" t="str" cm="1">
        <f t="array" ref="I9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95" s="5">
        <f>_xlfn.XLOOKUP(tbl_raw[[#This Row],[Kategori]], tbl_target[Kategori], tbl_target[Target_Margin], 0)</f>
        <v>0.25</v>
      </c>
      <c r="K95" t="s">
        <v>22</v>
      </c>
      <c r="L95" t="s">
        <v>19</v>
      </c>
      <c r="M95">
        <v>15128049</v>
      </c>
    </row>
    <row r="96" spans="1:13" x14ac:dyDescent="0.3">
      <c r="A96" t="s">
        <v>106</v>
      </c>
      <c r="B96" t="s">
        <v>100</v>
      </c>
      <c r="C96" t="s">
        <v>23</v>
      </c>
      <c r="D96" t="s">
        <v>27</v>
      </c>
      <c r="E96">
        <v>10200000</v>
      </c>
      <c r="F96">
        <v>4775673</v>
      </c>
      <c r="G96">
        <v>5424327</v>
      </c>
      <c r="H96" s="5">
        <f>IFERROR((tbl_raw[[#This Row],[Revenue]]-tbl_raw[[#This Row],[COGS]]) / tbl_raw[[#This Row],[Revenue]], 0)</f>
        <v>0.53179676470588233</v>
      </c>
      <c r="I96" s="5" t="str" cm="1">
        <f t="array" ref="I9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96" s="5">
        <f>_xlfn.XLOOKUP(tbl_raw[[#This Row],[Kategori]], tbl_target[Kategori], tbl_target[Target_Margin], 0)</f>
        <v>0.35</v>
      </c>
      <c r="K96" t="s">
        <v>22</v>
      </c>
      <c r="L96" t="s">
        <v>19</v>
      </c>
      <c r="M96">
        <v>10592088</v>
      </c>
    </row>
    <row r="97" spans="1:13" x14ac:dyDescent="0.3">
      <c r="A97" t="s">
        <v>106</v>
      </c>
      <c r="B97" t="s">
        <v>100</v>
      </c>
      <c r="C97" t="s">
        <v>23</v>
      </c>
      <c r="D97" t="s">
        <v>58</v>
      </c>
      <c r="E97">
        <v>3500000</v>
      </c>
      <c r="F97">
        <v>1349144</v>
      </c>
      <c r="G97">
        <v>2150856</v>
      </c>
      <c r="H97" s="5">
        <f>IFERROR((tbl_raw[[#This Row],[Revenue]]-tbl_raw[[#This Row],[COGS]]) / tbl_raw[[#This Row],[Revenue]], 0)</f>
        <v>0.6145302857142857</v>
      </c>
      <c r="I97" s="5" t="str" cm="1">
        <f t="array" ref="I9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97" s="5">
        <f>_xlfn.XLOOKUP(tbl_raw[[#This Row],[Kategori]], tbl_target[Kategori], tbl_target[Target_Margin], 0)</f>
        <v>0.35</v>
      </c>
      <c r="K97" t="s">
        <v>18</v>
      </c>
      <c r="L97" t="s">
        <v>19</v>
      </c>
      <c r="M97">
        <v>3133823</v>
      </c>
    </row>
    <row r="98" spans="1:13" x14ac:dyDescent="0.3">
      <c r="A98" t="s">
        <v>107</v>
      </c>
      <c r="B98" t="s">
        <v>100</v>
      </c>
      <c r="C98" t="s">
        <v>12</v>
      </c>
      <c r="D98" t="s">
        <v>13</v>
      </c>
      <c r="E98">
        <v>17000000</v>
      </c>
      <c r="F98">
        <v>7529042</v>
      </c>
      <c r="G98">
        <v>9470958</v>
      </c>
      <c r="H98" s="5">
        <f>IFERROR((tbl_raw[[#This Row],[Revenue]]-tbl_raw[[#This Row],[COGS]]) / tbl_raw[[#This Row],[Revenue]], 0)</f>
        <v>0.55711517647058828</v>
      </c>
      <c r="I98" s="5" t="str" cm="1">
        <f t="array" ref="I9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98" s="5">
        <f>_xlfn.XLOOKUP(tbl_raw[[#This Row],[Kategori]], tbl_target[Kategori], tbl_target[Target_Margin], 0)</f>
        <v>0.25</v>
      </c>
      <c r="K98" t="s">
        <v>14</v>
      </c>
      <c r="L98" t="s">
        <v>49</v>
      </c>
      <c r="M98">
        <v>20293459</v>
      </c>
    </row>
    <row r="99" spans="1:13" x14ac:dyDescent="0.3">
      <c r="A99" t="s">
        <v>108</v>
      </c>
      <c r="B99" t="s">
        <v>100</v>
      </c>
      <c r="C99" t="s">
        <v>20</v>
      </c>
      <c r="D99" t="s">
        <v>30</v>
      </c>
      <c r="E99">
        <v>7100000</v>
      </c>
      <c r="F99">
        <v>3406978</v>
      </c>
      <c r="G99">
        <v>3693022</v>
      </c>
      <c r="H99" s="5">
        <f>IFERROR((tbl_raw[[#This Row],[Revenue]]-tbl_raw[[#This Row],[COGS]]) / tbl_raw[[#This Row],[Revenue]], 0)</f>
        <v>0.52014394366197181</v>
      </c>
      <c r="I99" s="5" t="str" cm="1">
        <f t="array" ref="I9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99" s="5">
        <f>_xlfn.XLOOKUP(tbl_raw[[#This Row],[Kategori]], tbl_target[Kategori], tbl_target[Target_Margin], 0)</f>
        <v>0.4</v>
      </c>
      <c r="K99" t="s">
        <v>48</v>
      </c>
      <c r="L99" t="s">
        <v>19</v>
      </c>
      <c r="M99">
        <v>9136558</v>
      </c>
    </row>
    <row r="100" spans="1:13" x14ac:dyDescent="0.3">
      <c r="A100" t="s">
        <v>108</v>
      </c>
      <c r="B100" t="s">
        <v>100</v>
      </c>
      <c r="C100" t="s">
        <v>12</v>
      </c>
      <c r="D100" t="s">
        <v>17</v>
      </c>
      <c r="E100">
        <v>14500000</v>
      </c>
      <c r="F100">
        <v>8225235</v>
      </c>
      <c r="G100">
        <v>6274765</v>
      </c>
      <c r="H100" s="5">
        <f>IFERROR((tbl_raw[[#This Row],[Revenue]]-tbl_raw[[#This Row],[COGS]]) / tbl_raw[[#This Row],[Revenue]], 0)</f>
        <v>0.43274241379310346</v>
      </c>
      <c r="I100" s="5" t="str" cm="1">
        <f t="array" ref="I10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00" s="5">
        <f>_xlfn.XLOOKUP(tbl_raw[[#This Row],[Kategori]], tbl_target[Kategori], tbl_target[Target_Margin], 0)</f>
        <v>0.25</v>
      </c>
      <c r="K100" t="s">
        <v>22</v>
      </c>
      <c r="L100" t="s">
        <v>41</v>
      </c>
      <c r="M100">
        <v>16807595</v>
      </c>
    </row>
    <row r="101" spans="1:13" x14ac:dyDescent="0.3">
      <c r="A101" t="s">
        <v>109</v>
      </c>
      <c r="B101" t="s">
        <v>100</v>
      </c>
      <c r="C101" t="s">
        <v>23</v>
      </c>
      <c r="D101" t="s">
        <v>58</v>
      </c>
      <c r="E101">
        <v>1900000</v>
      </c>
      <c r="F101">
        <v>1064488</v>
      </c>
      <c r="G101">
        <v>835512</v>
      </c>
      <c r="H101" s="5">
        <f>IFERROR((tbl_raw[[#This Row],[Revenue]]-tbl_raw[[#This Row],[COGS]]) / tbl_raw[[#This Row],[Revenue]], 0)</f>
        <v>0.43974315789473684</v>
      </c>
      <c r="I101" s="5" t="str" cm="1">
        <f t="array" ref="I10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01" s="5">
        <f>_xlfn.XLOOKUP(tbl_raw[[#This Row],[Kategori]], tbl_target[Kategori], tbl_target[Target_Margin], 0)</f>
        <v>0.35</v>
      </c>
      <c r="K101" t="s">
        <v>22</v>
      </c>
      <c r="L101" t="s">
        <v>28</v>
      </c>
      <c r="M101">
        <v>2147718</v>
      </c>
    </row>
    <row r="102" spans="1:13" x14ac:dyDescent="0.3">
      <c r="A102" t="s">
        <v>110</v>
      </c>
      <c r="B102" t="s">
        <v>100</v>
      </c>
      <c r="C102" t="s">
        <v>12</v>
      </c>
      <c r="D102" t="s">
        <v>13</v>
      </c>
      <c r="E102">
        <v>17300000</v>
      </c>
      <c r="F102">
        <v>8952873</v>
      </c>
      <c r="G102">
        <v>8347127</v>
      </c>
      <c r="H102" s="5">
        <f>IFERROR((tbl_raw[[#This Row],[Revenue]]-tbl_raw[[#This Row],[COGS]]) / tbl_raw[[#This Row],[Revenue]], 0)</f>
        <v>0.4824928901734104</v>
      </c>
      <c r="I102" s="5" t="str" cm="1">
        <f t="array" ref="I10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02" s="5">
        <f>_xlfn.XLOOKUP(tbl_raw[[#This Row],[Kategori]], tbl_target[Kategori], tbl_target[Target_Margin], 0)</f>
        <v>0.25</v>
      </c>
      <c r="K102" t="s">
        <v>18</v>
      </c>
      <c r="L102" t="s">
        <v>49</v>
      </c>
      <c r="M102">
        <v>17284068</v>
      </c>
    </row>
    <row r="103" spans="1:13" x14ac:dyDescent="0.3">
      <c r="A103" t="s">
        <v>111</v>
      </c>
      <c r="B103" t="s">
        <v>100</v>
      </c>
      <c r="C103" t="s">
        <v>12</v>
      </c>
      <c r="D103" t="s">
        <v>32</v>
      </c>
      <c r="E103">
        <v>7500000</v>
      </c>
      <c r="F103">
        <v>2995838</v>
      </c>
      <c r="G103">
        <v>4504162</v>
      </c>
      <c r="H103" s="5">
        <f>IFERROR((tbl_raw[[#This Row],[Revenue]]-tbl_raw[[#This Row],[COGS]]) / tbl_raw[[#This Row],[Revenue]], 0)</f>
        <v>0.60055493333333332</v>
      </c>
      <c r="I103" s="5" t="str" cm="1">
        <f t="array" ref="I10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03" s="5">
        <f>_xlfn.XLOOKUP(tbl_raw[[#This Row],[Kategori]], tbl_target[Kategori], tbl_target[Target_Margin], 0)</f>
        <v>0.25</v>
      </c>
      <c r="K103" t="s">
        <v>18</v>
      </c>
      <c r="L103" t="s">
        <v>15</v>
      </c>
      <c r="M103">
        <v>8274534</v>
      </c>
    </row>
    <row r="104" spans="1:13" x14ac:dyDescent="0.3">
      <c r="A104" t="s">
        <v>111</v>
      </c>
      <c r="B104" t="s">
        <v>100</v>
      </c>
      <c r="C104" t="s">
        <v>12</v>
      </c>
      <c r="D104" t="s">
        <v>13</v>
      </c>
      <c r="E104">
        <v>2000000</v>
      </c>
      <c r="F104">
        <v>931727</v>
      </c>
      <c r="G104">
        <v>1068273</v>
      </c>
      <c r="H104" s="5">
        <f>IFERROR((tbl_raw[[#This Row],[Revenue]]-tbl_raw[[#This Row],[COGS]]) / tbl_raw[[#This Row],[Revenue]], 0)</f>
        <v>0.53413650000000001</v>
      </c>
      <c r="I104" s="5" t="str" cm="1">
        <f t="array" ref="I10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04" s="5">
        <f>_xlfn.XLOOKUP(tbl_raw[[#This Row],[Kategori]], tbl_target[Kategori], tbl_target[Target_Margin], 0)</f>
        <v>0.25</v>
      </c>
      <c r="K104" t="s">
        <v>22</v>
      </c>
      <c r="L104" t="s">
        <v>34</v>
      </c>
      <c r="M104">
        <v>1795485</v>
      </c>
    </row>
    <row r="105" spans="1:13" x14ac:dyDescent="0.3">
      <c r="A105" t="s">
        <v>112</v>
      </c>
      <c r="B105" t="s">
        <v>100</v>
      </c>
      <c r="C105" t="s">
        <v>20</v>
      </c>
      <c r="D105" t="s">
        <v>40</v>
      </c>
      <c r="E105">
        <v>12000000</v>
      </c>
      <c r="F105">
        <v>5100960</v>
      </c>
      <c r="G105">
        <v>6899040</v>
      </c>
      <c r="H105" s="5">
        <f>IFERROR((tbl_raw[[#This Row],[Revenue]]-tbl_raw[[#This Row],[COGS]]) / tbl_raw[[#This Row],[Revenue]], 0)</f>
        <v>0.57491999999999999</v>
      </c>
      <c r="I105" s="5" t="str" cm="1">
        <f t="array" ref="I10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05" s="5">
        <f>_xlfn.XLOOKUP(tbl_raw[[#This Row],[Kategori]], tbl_target[Kategori], tbl_target[Target_Margin], 0)</f>
        <v>0.4</v>
      </c>
      <c r="K105" t="s">
        <v>14</v>
      </c>
      <c r="L105" t="s">
        <v>34</v>
      </c>
      <c r="M105">
        <v>14597327</v>
      </c>
    </row>
    <row r="106" spans="1:13" x14ac:dyDescent="0.3">
      <c r="A106" t="s">
        <v>112</v>
      </c>
      <c r="B106" t="s">
        <v>100</v>
      </c>
      <c r="C106" t="s">
        <v>20</v>
      </c>
      <c r="D106" t="s">
        <v>21</v>
      </c>
      <c r="E106">
        <v>6200000</v>
      </c>
      <c r="F106">
        <v>2528591</v>
      </c>
      <c r="G106">
        <v>3671409</v>
      </c>
      <c r="H106" s="5">
        <f>IFERROR((tbl_raw[[#This Row],[Revenue]]-tbl_raw[[#This Row],[COGS]]) / tbl_raw[[#This Row],[Revenue]], 0)</f>
        <v>0.59216274193548391</v>
      </c>
      <c r="I106" s="5" t="str" cm="1">
        <f t="array" ref="I10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06" s="5">
        <f>_xlfn.XLOOKUP(tbl_raw[[#This Row],[Kategori]], tbl_target[Kategori], tbl_target[Target_Margin], 0)</f>
        <v>0.4</v>
      </c>
      <c r="K106" t="s">
        <v>18</v>
      </c>
      <c r="L106" t="s">
        <v>49</v>
      </c>
      <c r="M106">
        <v>6602654</v>
      </c>
    </row>
    <row r="107" spans="1:13" x14ac:dyDescent="0.3">
      <c r="A107" t="s">
        <v>113</v>
      </c>
      <c r="B107" t="s">
        <v>100</v>
      </c>
      <c r="C107" t="s">
        <v>12</v>
      </c>
      <c r="D107" t="s">
        <v>17</v>
      </c>
      <c r="E107">
        <v>9300000</v>
      </c>
      <c r="F107">
        <v>5196802</v>
      </c>
      <c r="G107">
        <v>4103198</v>
      </c>
      <c r="H107" s="5">
        <f>IFERROR((tbl_raw[[#This Row],[Revenue]]-tbl_raw[[#This Row],[COGS]]) / tbl_raw[[#This Row],[Revenue]], 0)</f>
        <v>0.4412040860215054</v>
      </c>
      <c r="I107" s="5" t="str" cm="1">
        <f t="array" ref="I10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07" s="5">
        <f>_xlfn.XLOOKUP(tbl_raw[[#This Row],[Kategori]], tbl_target[Kategori], tbl_target[Target_Margin], 0)</f>
        <v>0.25</v>
      </c>
      <c r="K107" t="s">
        <v>48</v>
      </c>
      <c r="L107" t="s">
        <v>31</v>
      </c>
      <c r="M107">
        <v>8197972</v>
      </c>
    </row>
    <row r="108" spans="1:13" x14ac:dyDescent="0.3">
      <c r="A108" t="s">
        <v>114</v>
      </c>
      <c r="B108" t="s">
        <v>100</v>
      </c>
      <c r="C108" t="s">
        <v>20</v>
      </c>
      <c r="D108" t="s">
        <v>30</v>
      </c>
      <c r="E108">
        <v>16700000</v>
      </c>
      <c r="F108">
        <v>7183916</v>
      </c>
      <c r="G108">
        <v>9516084</v>
      </c>
      <c r="H108" s="5">
        <f>IFERROR((tbl_raw[[#This Row],[Revenue]]-tbl_raw[[#This Row],[COGS]]) / tbl_raw[[#This Row],[Revenue]], 0)</f>
        <v>0.5698253892215569</v>
      </c>
      <c r="I108" s="5" t="str" cm="1">
        <f t="array" ref="I10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08" s="5">
        <f>_xlfn.XLOOKUP(tbl_raw[[#This Row],[Kategori]], tbl_target[Kategori], tbl_target[Target_Margin], 0)</f>
        <v>0.4</v>
      </c>
      <c r="K108" t="s">
        <v>22</v>
      </c>
      <c r="L108" t="s">
        <v>19</v>
      </c>
      <c r="M108">
        <v>19300258</v>
      </c>
    </row>
    <row r="109" spans="1:13" x14ac:dyDescent="0.3">
      <c r="A109" t="s">
        <v>114</v>
      </c>
      <c r="B109" t="s">
        <v>100</v>
      </c>
      <c r="C109" t="s">
        <v>20</v>
      </c>
      <c r="D109" t="s">
        <v>30</v>
      </c>
      <c r="E109">
        <v>11000000</v>
      </c>
      <c r="F109">
        <v>4144122</v>
      </c>
      <c r="G109">
        <v>6855878</v>
      </c>
      <c r="H109" s="5">
        <f>IFERROR((tbl_raw[[#This Row],[Revenue]]-tbl_raw[[#This Row],[COGS]]) / tbl_raw[[#This Row],[Revenue]], 0)</f>
        <v>0.62326163636363641</v>
      </c>
      <c r="I109" s="5" t="str" cm="1">
        <f t="array" ref="I10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09" s="5">
        <f>_xlfn.XLOOKUP(tbl_raw[[#This Row],[Kategori]], tbl_target[Kategori], tbl_target[Target_Margin], 0)</f>
        <v>0.4</v>
      </c>
      <c r="K109" t="s">
        <v>48</v>
      </c>
      <c r="L109" t="s">
        <v>15</v>
      </c>
      <c r="M109">
        <v>9934833</v>
      </c>
    </row>
    <row r="110" spans="1:13" x14ac:dyDescent="0.3">
      <c r="A110" t="s">
        <v>115</v>
      </c>
      <c r="B110" t="s">
        <v>100</v>
      </c>
      <c r="C110" t="s">
        <v>23</v>
      </c>
      <c r="D110" t="s">
        <v>58</v>
      </c>
      <c r="E110">
        <v>6500000</v>
      </c>
      <c r="F110">
        <v>3615896</v>
      </c>
      <c r="G110">
        <v>2884104</v>
      </c>
      <c r="H110" s="5">
        <f>IFERROR((tbl_raw[[#This Row],[Revenue]]-tbl_raw[[#This Row],[COGS]]) / tbl_raw[[#This Row],[Revenue]], 0)</f>
        <v>0.44370830769230768</v>
      </c>
      <c r="I110" s="5" t="str" cm="1">
        <f t="array" ref="I11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10" s="5">
        <f>_xlfn.XLOOKUP(tbl_raw[[#This Row],[Kategori]], tbl_target[Kategori], tbl_target[Target_Margin], 0)</f>
        <v>0.35</v>
      </c>
      <c r="K110" t="s">
        <v>18</v>
      </c>
      <c r="L110" t="s">
        <v>15</v>
      </c>
      <c r="M110">
        <v>8383518</v>
      </c>
    </row>
    <row r="111" spans="1:13" x14ac:dyDescent="0.3">
      <c r="A111" t="s">
        <v>115</v>
      </c>
      <c r="B111" t="s">
        <v>100</v>
      </c>
      <c r="C111" t="s">
        <v>12</v>
      </c>
      <c r="D111" t="s">
        <v>13</v>
      </c>
      <c r="E111">
        <v>12800000</v>
      </c>
      <c r="F111">
        <v>5007407</v>
      </c>
      <c r="G111">
        <v>7792593</v>
      </c>
      <c r="H111" s="5">
        <f>IFERROR((tbl_raw[[#This Row],[Revenue]]-tbl_raw[[#This Row],[COGS]]) / tbl_raw[[#This Row],[Revenue]], 0)</f>
        <v>0.60879632812499995</v>
      </c>
      <c r="I111" s="5" t="str" cm="1">
        <f t="array" ref="I11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11" s="5">
        <f>_xlfn.XLOOKUP(tbl_raw[[#This Row],[Kategori]], tbl_target[Kategori], tbl_target[Target_Margin], 0)</f>
        <v>0.25</v>
      </c>
      <c r="K111" t="s">
        <v>18</v>
      </c>
      <c r="L111" t="s">
        <v>25</v>
      </c>
      <c r="M111">
        <v>11514546</v>
      </c>
    </row>
    <row r="112" spans="1:13" x14ac:dyDescent="0.3">
      <c r="A112" t="s">
        <v>115</v>
      </c>
      <c r="B112" t="s">
        <v>100</v>
      </c>
      <c r="C112" t="s">
        <v>12</v>
      </c>
      <c r="D112" t="s">
        <v>32</v>
      </c>
      <c r="E112">
        <v>3100000</v>
      </c>
      <c r="F112">
        <v>1185364</v>
      </c>
      <c r="G112">
        <v>1914636</v>
      </c>
      <c r="H112" s="5">
        <f>IFERROR((tbl_raw[[#This Row],[Revenue]]-tbl_raw[[#This Row],[COGS]]) / tbl_raw[[#This Row],[Revenue]], 0)</f>
        <v>0.61762451612903224</v>
      </c>
      <c r="I112" s="5" t="str" cm="1">
        <f t="array" ref="I11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12" s="5">
        <f>_xlfn.XLOOKUP(tbl_raw[[#This Row],[Kategori]], tbl_target[Kategori], tbl_target[Target_Margin], 0)</f>
        <v>0.25</v>
      </c>
      <c r="K112" t="s">
        <v>22</v>
      </c>
      <c r="L112" t="s">
        <v>49</v>
      </c>
      <c r="M112">
        <v>2760095</v>
      </c>
    </row>
    <row r="113" spans="1:13" x14ac:dyDescent="0.3">
      <c r="A113" t="s">
        <v>115</v>
      </c>
      <c r="B113" t="s">
        <v>100</v>
      </c>
      <c r="C113" t="s">
        <v>12</v>
      </c>
      <c r="D113" t="s">
        <v>32</v>
      </c>
      <c r="E113">
        <v>1600000</v>
      </c>
      <c r="F113">
        <v>757742</v>
      </c>
      <c r="G113">
        <v>842258</v>
      </c>
      <c r="H113" s="5">
        <f>IFERROR((tbl_raw[[#This Row],[Revenue]]-tbl_raw[[#This Row],[COGS]]) / tbl_raw[[#This Row],[Revenue]], 0)</f>
        <v>0.52641125</v>
      </c>
      <c r="I113" s="5" t="str" cm="1">
        <f t="array" ref="I11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13" s="5">
        <f>_xlfn.XLOOKUP(tbl_raw[[#This Row],[Kategori]], tbl_target[Kategori], tbl_target[Target_Margin], 0)</f>
        <v>0.25</v>
      </c>
      <c r="K113" t="s">
        <v>48</v>
      </c>
      <c r="L113" t="s">
        <v>15</v>
      </c>
      <c r="M113">
        <v>1721478</v>
      </c>
    </row>
    <row r="114" spans="1:13" x14ac:dyDescent="0.3">
      <c r="A114" t="s">
        <v>116</v>
      </c>
      <c r="B114" t="s">
        <v>100</v>
      </c>
      <c r="C114" t="s">
        <v>12</v>
      </c>
      <c r="D114" t="s">
        <v>32</v>
      </c>
      <c r="E114">
        <v>3600000</v>
      </c>
      <c r="F114">
        <v>1710416</v>
      </c>
      <c r="G114">
        <v>1889584</v>
      </c>
      <c r="H114" s="5">
        <f>IFERROR((tbl_raw[[#This Row],[Revenue]]-tbl_raw[[#This Row],[COGS]]) / tbl_raw[[#This Row],[Revenue]], 0)</f>
        <v>0.52488444444444449</v>
      </c>
      <c r="I114" s="5" t="str" cm="1">
        <f t="array" ref="I11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14" s="5">
        <f>_xlfn.XLOOKUP(tbl_raw[[#This Row],[Kategori]], tbl_target[Kategori], tbl_target[Target_Margin], 0)</f>
        <v>0.25</v>
      </c>
      <c r="K114" t="s">
        <v>14</v>
      </c>
      <c r="L114" t="s">
        <v>41</v>
      </c>
      <c r="M114">
        <v>4383344</v>
      </c>
    </row>
    <row r="115" spans="1:13" x14ac:dyDescent="0.3">
      <c r="A115" t="s">
        <v>116</v>
      </c>
      <c r="B115" t="s">
        <v>100</v>
      </c>
      <c r="C115" t="s">
        <v>23</v>
      </c>
      <c r="D115" t="s">
        <v>58</v>
      </c>
      <c r="E115">
        <v>9000000</v>
      </c>
      <c r="F115">
        <v>3866201</v>
      </c>
      <c r="G115">
        <v>5133799</v>
      </c>
      <c r="H115" s="5">
        <f>IFERROR((tbl_raw[[#This Row],[Revenue]]-tbl_raw[[#This Row],[COGS]]) / tbl_raw[[#This Row],[Revenue]], 0)</f>
        <v>0.57042211111111107</v>
      </c>
      <c r="I115" s="5" t="str" cm="1">
        <f t="array" ref="I11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15" s="5">
        <f>_xlfn.XLOOKUP(tbl_raw[[#This Row],[Kategori]], tbl_target[Kategori], tbl_target[Target_Margin], 0)</f>
        <v>0.35</v>
      </c>
      <c r="K115" t="s">
        <v>14</v>
      </c>
      <c r="L115" t="s">
        <v>25</v>
      </c>
      <c r="M115">
        <v>7756771</v>
      </c>
    </row>
    <row r="116" spans="1:13" x14ac:dyDescent="0.3">
      <c r="A116" t="s">
        <v>116</v>
      </c>
      <c r="B116" t="s">
        <v>100</v>
      </c>
      <c r="C116" t="s">
        <v>20</v>
      </c>
      <c r="D116" t="s">
        <v>30</v>
      </c>
      <c r="E116">
        <v>1100000</v>
      </c>
      <c r="F116">
        <v>389793</v>
      </c>
      <c r="G116">
        <v>710207</v>
      </c>
      <c r="H116" s="5">
        <f>IFERROR((tbl_raw[[#This Row],[Revenue]]-tbl_raw[[#This Row],[COGS]]) / tbl_raw[[#This Row],[Revenue]], 0)</f>
        <v>0.64564272727272731</v>
      </c>
      <c r="I116" s="5" t="str" cm="1">
        <f t="array" ref="I11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16" s="5">
        <f>_xlfn.XLOOKUP(tbl_raw[[#This Row],[Kategori]], tbl_target[Kategori], tbl_target[Target_Margin], 0)</f>
        <v>0.4</v>
      </c>
      <c r="K116" t="s">
        <v>18</v>
      </c>
      <c r="L116" t="s">
        <v>19</v>
      </c>
      <c r="M116">
        <v>1119302</v>
      </c>
    </row>
    <row r="117" spans="1:13" x14ac:dyDescent="0.3">
      <c r="A117" t="s">
        <v>117</v>
      </c>
      <c r="B117" t="s">
        <v>100</v>
      </c>
      <c r="C117" t="s">
        <v>20</v>
      </c>
      <c r="D117" t="s">
        <v>30</v>
      </c>
      <c r="E117">
        <v>14400000</v>
      </c>
      <c r="F117">
        <v>7493514</v>
      </c>
      <c r="G117">
        <v>6906486</v>
      </c>
      <c r="H117" s="5">
        <f>IFERROR((tbl_raw[[#This Row],[Revenue]]-tbl_raw[[#This Row],[COGS]]) / tbl_raw[[#This Row],[Revenue]], 0)</f>
        <v>0.47961708333333336</v>
      </c>
      <c r="I117" s="5" t="str" cm="1">
        <f t="array" ref="I11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17" s="5">
        <f>_xlfn.XLOOKUP(tbl_raw[[#This Row],[Kategori]], tbl_target[Kategori], tbl_target[Target_Margin], 0)</f>
        <v>0.4</v>
      </c>
      <c r="K117" t="s">
        <v>22</v>
      </c>
      <c r="L117" t="s">
        <v>19</v>
      </c>
      <c r="M117">
        <v>13812779</v>
      </c>
    </row>
    <row r="118" spans="1:13" x14ac:dyDescent="0.3">
      <c r="A118" t="s">
        <v>118</v>
      </c>
      <c r="B118" t="s">
        <v>100</v>
      </c>
      <c r="C118" t="s">
        <v>20</v>
      </c>
      <c r="D118" t="s">
        <v>30</v>
      </c>
      <c r="E118">
        <v>6400000</v>
      </c>
      <c r="F118">
        <v>2563915</v>
      </c>
      <c r="G118">
        <v>3836085</v>
      </c>
      <c r="H118" s="5">
        <f>IFERROR((tbl_raw[[#This Row],[Revenue]]-tbl_raw[[#This Row],[COGS]]) / tbl_raw[[#This Row],[Revenue]], 0)</f>
        <v>0.59938828124999999</v>
      </c>
      <c r="I118" s="5" t="str" cm="1">
        <f t="array" ref="I11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18" s="5">
        <f>_xlfn.XLOOKUP(tbl_raw[[#This Row],[Kategori]], tbl_target[Kategori], tbl_target[Target_Margin], 0)</f>
        <v>0.4</v>
      </c>
      <c r="K118" t="s">
        <v>36</v>
      </c>
      <c r="L118" t="s">
        <v>49</v>
      </c>
      <c r="M118">
        <v>6081097</v>
      </c>
    </row>
    <row r="119" spans="1:13" x14ac:dyDescent="0.3">
      <c r="A119" t="s">
        <v>118</v>
      </c>
      <c r="B119" t="s">
        <v>100</v>
      </c>
      <c r="C119" t="s">
        <v>20</v>
      </c>
      <c r="D119" t="s">
        <v>21</v>
      </c>
      <c r="E119">
        <v>10200000</v>
      </c>
      <c r="F119">
        <v>4528657</v>
      </c>
      <c r="G119">
        <v>5671343</v>
      </c>
      <c r="H119" s="5">
        <f>IFERROR((tbl_raw[[#This Row],[Revenue]]-tbl_raw[[#This Row],[COGS]]) / tbl_raw[[#This Row],[Revenue]], 0)</f>
        <v>0.55601401960784314</v>
      </c>
      <c r="I119" s="5" t="str" cm="1">
        <f t="array" ref="I11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19" s="5">
        <f>_xlfn.XLOOKUP(tbl_raw[[#This Row],[Kategori]], tbl_target[Kategori], tbl_target[Target_Margin], 0)</f>
        <v>0.4</v>
      </c>
      <c r="K119" t="s">
        <v>18</v>
      </c>
      <c r="L119" t="s">
        <v>41</v>
      </c>
      <c r="M119">
        <v>10065479</v>
      </c>
    </row>
    <row r="120" spans="1:13" x14ac:dyDescent="0.3">
      <c r="A120" t="s">
        <v>119</v>
      </c>
      <c r="B120" t="s">
        <v>100</v>
      </c>
      <c r="C120" t="s">
        <v>12</v>
      </c>
      <c r="D120" t="s">
        <v>13</v>
      </c>
      <c r="E120">
        <v>10000000</v>
      </c>
      <c r="F120">
        <v>4871126</v>
      </c>
      <c r="G120">
        <v>5128874</v>
      </c>
      <c r="H120" s="5">
        <f>IFERROR((tbl_raw[[#This Row],[Revenue]]-tbl_raw[[#This Row],[COGS]]) / tbl_raw[[#This Row],[Revenue]], 0)</f>
        <v>0.51288739999999999</v>
      </c>
      <c r="I120" s="5" t="str" cm="1">
        <f t="array" ref="I12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20" s="5">
        <f>_xlfn.XLOOKUP(tbl_raw[[#This Row],[Kategori]], tbl_target[Kategori], tbl_target[Target_Margin], 0)</f>
        <v>0.25</v>
      </c>
      <c r="K120" t="s">
        <v>36</v>
      </c>
      <c r="L120" t="s">
        <v>25</v>
      </c>
      <c r="M120">
        <v>9974802</v>
      </c>
    </row>
    <row r="121" spans="1:13" x14ac:dyDescent="0.3">
      <c r="A121" t="s">
        <v>120</v>
      </c>
      <c r="B121" t="s">
        <v>121</v>
      </c>
      <c r="C121" t="s">
        <v>23</v>
      </c>
      <c r="D121" t="s">
        <v>58</v>
      </c>
      <c r="E121">
        <v>15300000</v>
      </c>
      <c r="F121">
        <v>7927730</v>
      </c>
      <c r="G121">
        <v>7372270</v>
      </c>
      <c r="H121" s="5">
        <f>IFERROR((tbl_raw[[#This Row],[Revenue]]-tbl_raw[[#This Row],[COGS]]) / tbl_raw[[#This Row],[Revenue]], 0)</f>
        <v>0.48184771241830066</v>
      </c>
      <c r="I121" s="5" t="str" cm="1">
        <f t="array" ref="I12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21" s="5">
        <f>_xlfn.XLOOKUP(tbl_raw[[#This Row],[Kategori]], tbl_target[Kategori], tbl_target[Target_Margin], 0)</f>
        <v>0.35</v>
      </c>
      <c r="K121" t="s">
        <v>36</v>
      </c>
      <c r="L121" t="s">
        <v>34</v>
      </c>
      <c r="M121">
        <v>19153990</v>
      </c>
    </row>
    <row r="122" spans="1:13" x14ac:dyDescent="0.3">
      <c r="A122" t="s">
        <v>120</v>
      </c>
      <c r="B122" t="s">
        <v>121</v>
      </c>
      <c r="C122" t="s">
        <v>20</v>
      </c>
      <c r="D122" t="s">
        <v>40</v>
      </c>
      <c r="E122">
        <v>5700000</v>
      </c>
      <c r="F122">
        <v>2517465</v>
      </c>
      <c r="G122">
        <v>3182535</v>
      </c>
      <c r="H122" s="5">
        <f>IFERROR((tbl_raw[[#This Row],[Revenue]]-tbl_raw[[#This Row],[COGS]]) / tbl_raw[[#This Row],[Revenue]], 0)</f>
        <v>0.55833947368421055</v>
      </c>
      <c r="I122" s="5" t="str" cm="1">
        <f t="array" ref="I12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22" s="5">
        <f>_xlfn.XLOOKUP(tbl_raw[[#This Row],[Kategori]], tbl_target[Kategori], tbl_target[Target_Margin], 0)</f>
        <v>0.4</v>
      </c>
      <c r="K122" t="s">
        <v>18</v>
      </c>
      <c r="L122" t="s">
        <v>34</v>
      </c>
      <c r="M122">
        <v>6716279</v>
      </c>
    </row>
    <row r="123" spans="1:13" x14ac:dyDescent="0.3">
      <c r="A123" t="s">
        <v>122</v>
      </c>
      <c r="B123" t="s">
        <v>121</v>
      </c>
      <c r="C123" t="s">
        <v>23</v>
      </c>
      <c r="D123" t="s">
        <v>27</v>
      </c>
      <c r="E123">
        <v>2700000</v>
      </c>
      <c r="F123">
        <v>1330033</v>
      </c>
      <c r="G123">
        <v>1369967</v>
      </c>
      <c r="H123" s="5">
        <f>IFERROR((tbl_raw[[#This Row],[Revenue]]-tbl_raw[[#This Row],[COGS]]) / tbl_raw[[#This Row],[Revenue]], 0)</f>
        <v>0.50739518518518523</v>
      </c>
      <c r="I123" s="5" t="str" cm="1">
        <f t="array" ref="I12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23" s="5">
        <f>_xlfn.XLOOKUP(tbl_raw[[#This Row],[Kategori]], tbl_target[Kategori], tbl_target[Target_Margin], 0)</f>
        <v>0.35</v>
      </c>
      <c r="K123" t="s">
        <v>36</v>
      </c>
      <c r="L123" t="s">
        <v>19</v>
      </c>
      <c r="M123">
        <v>3057265</v>
      </c>
    </row>
    <row r="124" spans="1:13" x14ac:dyDescent="0.3">
      <c r="A124" t="s">
        <v>123</v>
      </c>
      <c r="B124" t="s">
        <v>121</v>
      </c>
      <c r="C124" t="s">
        <v>12</v>
      </c>
      <c r="D124" t="s">
        <v>13</v>
      </c>
      <c r="E124">
        <v>4600000</v>
      </c>
      <c r="F124">
        <v>2161207</v>
      </c>
      <c r="G124">
        <v>2438793</v>
      </c>
      <c r="H124" s="5">
        <f>IFERROR((tbl_raw[[#This Row],[Revenue]]-tbl_raw[[#This Row],[COGS]]) / tbl_raw[[#This Row],[Revenue]], 0)</f>
        <v>0.53017239130434779</v>
      </c>
      <c r="I124" s="5" t="str" cm="1">
        <f t="array" ref="I12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24" s="5">
        <f>_xlfn.XLOOKUP(tbl_raw[[#This Row],[Kategori]], tbl_target[Kategori], tbl_target[Target_Margin], 0)</f>
        <v>0.25</v>
      </c>
      <c r="K124" t="s">
        <v>18</v>
      </c>
      <c r="L124" t="s">
        <v>49</v>
      </c>
      <c r="M124">
        <v>4962315</v>
      </c>
    </row>
    <row r="125" spans="1:13" x14ac:dyDescent="0.3">
      <c r="A125" t="s">
        <v>124</v>
      </c>
      <c r="B125" t="s">
        <v>121</v>
      </c>
      <c r="C125" t="s">
        <v>20</v>
      </c>
      <c r="D125" t="s">
        <v>30</v>
      </c>
      <c r="E125">
        <v>18900000</v>
      </c>
      <c r="F125">
        <v>9445785</v>
      </c>
      <c r="G125">
        <v>9454215</v>
      </c>
      <c r="H125" s="5">
        <f>IFERROR((tbl_raw[[#This Row],[Revenue]]-tbl_raw[[#This Row],[COGS]]) / tbl_raw[[#This Row],[Revenue]], 0)</f>
        <v>0.50022301587301587</v>
      </c>
      <c r="I125" s="5" t="str" cm="1">
        <f t="array" ref="I12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25" s="5">
        <f>_xlfn.XLOOKUP(tbl_raw[[#This Row],[Kategori]], tbl_target[Kategori], tbl_target[Target_Margin], 0)</f>
        <v>0.4</v>
      </c>
      <c r="K125" t="s">
        <v>36</v>
      </c>
      <c r="L125" t="s">
        <v>19</v>
      </c>
      <c r="M125">
        <v>16826494</v>
      </c>
    </row>
    <row r="126" spans="1:13" x14ac:dyDescent="0.3">
      <c r="A126" t="s">
        <v>125</v>
      </c>
      <c r="B126" t="s">
        <v>121</v>
      </c>
      <c r="C126" t="s">
        <v>23</v>
      </c>
      <c r="D126" t="s">
        <v>27</v>
      </c>
      <c r="E126">
        <v>7300000</v>
      </c>
      <c r="F126">
        <v>4018638</v>
      </c>
      <c r="G126">
        <v>3281362</v>
      </c>
      <c r="H126" s="5">
        <f>IFERROR((tbl_raw[[#This Row],[Revenue]]-tbl_raw[[#This Row],[COGS]]) / tbl_raw[[#This Row],[Revenue]], 0)</f>
        <v>0.44950164383561642</v>
      </c>
      <c r="I126" s="5" t="str" cm="1">
        <f t="array" ref="I12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26" s="5">
        <f>_xlfn.XLOOKUP(tbl_raw[[#This Row],[Kategori]], tbl_target[Kategori], tbl_target[Target_Margin], 0)</f>
        <v>0.35</v>
      </c>
      <c r="K126" t="s">
        <v>36</v>
      </c>
      <c r="L126" t="s">
        <v>28</v>
      </c>
      <c r="M126">
        <v>9227705</v>
      </c>
    </row>
    <row r="127" spans="1:13" x14ac:dyDescent="0.3">
      <c r="A127" t="s">
        <v>126</v>
      </c>
      <c r="B127" t="s">
        <v>121</v>
      </c>
      <c r="C127" t="s">
        <v>23</v>
      </c>
      <c r="D127" t="s">
        <v>27</v>
      </c>
      <c r="E127">
        <v>17700000</v>
      </c>
      <c r="F127">
        <v>9525914</v>
      </c>
      <c r="G127">
        <v>8174086</v>
      </c>
      <c r="H127" s="5">
        <f>IFERROR((tbl_raw[[#This Row],[Revenue]]-tbl_raw[[#This Row],[COGS]]) / tbl_raw[[#This Row],[Revenue]], 0)</f>
        <v>0.46181276836158192</v>
      </c>
      <c r="I127" s="5" t="str" cm="1">
        <f t="array" ref="I12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27" s="5">
        <f>_xlfn.XLOOKUP(tbl_raw[[#This Row],[Kategori]], tbl_target[Kategori], tbl_target[Target_Margin], 0)</f>
        <v>0.35</v>
      </c>
      <c r="K127" t="s">
        <v>18</v>
      </c>
      <c r="L127" t="s">
        <v>34</v>
      </c>
      <c r="M127">
        <v>15032224</v>
      </c>
    </row>
    <row r="128" spans="1:13" x14ac:dyDescent="0.3">
      <c r="A128" t="s">
        <v>127</v>
      </c>
      <c r="B128" t="s">
        <v>121</v>
      </c>
      <c r="C128" t="s">
        <v>12</v>
      </c>
      <c r="D128" t="s">
        <v>32</v>
      </c>
      <c r="E128">
        <v>10000000</v>
      </c>
      <c r="F128">
        <v>5153004</v>
      </c>
      <c r="G128">
        <v>4846996</v>
      </c>
      <c r="H128" s="5">
        <f>IFERROR((tbl_raw[[#This Row],[Revenue]]-tbl_raw[[#This Row],[COGS]]) / tbl_raw[[#This Row],[Revenue]], 0)</f>
        <v>0.48469960000000001</v>
      </c>
      <c r="I128" s="5" t="str" cm="1">
        <f t="array" ref="I12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28" s="5">
        <f>_xlfn.XLOOKUP(tbl_raw[[#This Row],[Kategori]], tbl_target[Kategori], tbl_target[Target_Margin], 0)</f>
        <v>0.25</v>
      </c>
      <c r="K128" t="s">
        <v>22</v>
      </c>
      <c r="L128" t="s">
        <v>34</v>
      </c>
      <c r="M128">
        <v>10896842</v>
      </c>
    </row>
    <row r="129" spans="1:13" x14ac:dyDescent="0.3">
      <c r="A129" t="s">
        <v>128</v>
      </c>
      <c r="B129" t="s">
        <v>121</v>
      </c>
      <c r="C129" t="s">
        <v>12</v>
      </c>
      <c r="D129" t="s">
        <v>32</v>
      </c>
      <c r="E129">
        <v>2000000</v>
      </c>
      <c r="F129">
        <v>1030830</v>
      </c>
      <c r="G129">
        <v>969170</v>
      </c>
      <c r="H129" s="5">
        <f>IFERROR((tbl_raw[[#This Row],[Revenue]]-tbl_raw[[#This Row],[COGS]]) / tbl_raw[[#This Row],[Revenue]], 0)</f>
        <v>0.48458499999999999</v>
      </c>
      <c r="I129" s="5" t="str" cm="1">
        <f t="array" ref="I12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29" s="5">
        <f>_xlfn.XLOOKUP(tbl_raw[[#This Row],[Kategori]], tbl_target[Kategori], tbl_target[Target_Margin], 0)</f>
        <v>0.25</v>
      </c>
      <c r="K129" t="s">
        <v>48</v>
      </c>
      <c r="L129" t="s">
        <v>49</v>
      </c>
      <c r="M129">
        <v>1825625</v>
      </c>
    </row>
    <row r="130" spans="1:13" x14ac:dyDescent="0.3">
      <c r="A130" t="s">
        <v>129</v>
      </c>
      <c r="B130" t="s">
        <v>121</v>
      </c>
      <c r="C130" t="s">
        <v>23</v>
      </c>
      <c r="D130" t="s">
        <v>27</v>
      </c>
      <c r="E130">
        <v>3700000</v>
      </c>
      <c r="F130">
        <v>1480167</v>
      </c>
      <c r="G130">
        <v>2219833</v>
      </c>
      <c r="H130" s="5">
        <f>IFERROR((tbl_raw[[#This Row],[Revenue]]-tbl_raw[[#This Row],[COGS]]) / tbl_raw[[#This Row],[Revenue]], 0)</f>
        <v>0.59995486486486482</v>
      </c>
      <c r="I130" s="5" t="str" cm="1">
        <f t="array" ref="I13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30" s="5">
        <f>_xlfn.XLOOKUP(tbl_raw[[#This Row],[Kategori]], tbl_target[Kategori], tbl_target[Target_Margin], 0)</f>
        <v>0.35</v>
      </c>
      <c r="K130" t="s">
        <v>22</v>
      </c>
      <c r="L130" t="s">
        <v>28</v>
      </c>
      <c r="M130">
        <v>3224943</v>
      </c>
    </row>
    <row r="131" spans="1:13" x14ac:dyDescent="0.3">
      <c r="A131" t="s">
        <v>130</v>
      </c>
      <c r="B131" t="s">
        <v>121</v>
      </c>
      <c r="C131" t="s">
        <v>12</v>
      </c>
      <c r="D131" t="s">
        <v>13</v>
      </c>
      <c r="E131">
        <v>18300000</v>
      </c>
      <c r="F131">
        <v>6686500</v>
      </c>
      <c r="G131">
        <v>11613500</v>
      </c>
      <c r="H131" s="5">
        <f>IFERROR((tbl_raw[[#This Row],[Revenue]]-tbl_raw[[#This Row],[COGS]]) / tbl_raw[[#This Row],[Revenue]], 0)</f>
        <v>0.63461748633879778</v>
      </c>
      <c r="I131" s="5" t="str" cm="1">
        <f t="array" ref="I13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31" s="5">
        <f>_xlfn.XLOOKUP(tbl_raw[[#This Row],[Kategori]], tbl_target[Kategori], tbl_target[Target_Margin], 0)</f>
        <v>0.25</v>
      </c>
      <c r="K131" t="s">
        <v>22</v>
      </c>
      <c r="L131" t="s">
        <v>28</v>
      </c>
      <c r="M131">
        <v>20937554</v>
      </c>
    </row>
    <row r="132" spans="1:13" x14ac:dyDescent="0.3">
      <c r="A132" t="s">
        <v>131</v>
      </c>
      <c r="B132" t="s">
        <v>121</v>
      </c>
      <c r="C132" t="s">
        <v>23</v>
      </c>
      <c r="D132" t="s">
        <v>24</v>
      </c>
      <c r="E132">
        <v>5900000</v>
      </c>
      <c r="F132">
        <v>2387243</v>
      </c>
      <c r="G132">
        <v>3512757</v>
      </c>
      <c r="H132" s="5">
        <f>IFERROR((tbl_raw[[#This Row],[Revenue]]-tbl_raw[[#This Row],[COGS]]) / tbl_raw[[#This Row],[Revenue]], 0)</f>
        <v>0.59538254237288135</v>
      </c>
      <c r="I132" s="5" t="str" cm="1">
        <f t="array" ref="I13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32" s="5">
        <f>_xlfn.XLOOKUP(tbl_raw[[#This Row],[Kategori]], tbl_target[Kategori], tbl_target[Target_Margin], 0)</f>
        <v>0.35</v>
      </c>
      <c r="K132" t="s">
        <v>18</v>
      </c>
      <c r="L132" t="s">
        <v>49</v>
      </c>
      <c r="M132">
        <v>5005725</v>
      </c>
    </row>
    <row r="133" spans="1:13" x14ac:dyDescent="0.3">
      <c r="A133" t="s">
        <v>132</v>
      </c>
      <c r="B133" t="s">
        <v>121</v>
      </c>
      <c r="C133" t="s">
        <v>12</v>
      </c>
      <c r="D133" t="s">
        <v>32</v>
      </c>
      <c r="E133">
        <v>12700000</v>
      </c>
      <c r="F133">
        <v>4925500</v>
      </c>
      <c r="G133">
        <v>7774500</v>
      </c>
      <c r="H133" s="5">
        <f>IFERROR((tbl_raw[[#This Row],[Revenue]]-tbl_raw[[#This Row],[COGS]]) / tbl_raw[[#This Row],[Revenue]], 0)</f>
        <v>0.61216535433070862</v>
      </c>
      <c r="I133" s="5" t="str" cm="1">
        <f t="array" ref="I13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33" s="5">
        <f>_xlfn.XLOOKUP(tbl_raw[[#This Row],[Kategori]], tbl_target[Kategori], tbl_target[Target_Margin], 0)</f>
        <v>0.25</v>
      </c>
      <c r="K133" t="s">
        <v>14</v>
      </c>
      <c r="L133" t="s">
        <v>41</v>
      </c>
      <c r="M133">
        <v>16430771</v>
      </c>
    </row>
    <row r="134" spans="1:13" x14ac:dyDescent="0.3">
      <c r="A134" t="s">
        <v>133</v>
      </c>
      <c r="B134" t="s">
        <v>121</v>
      </c>
      <c r="C134" t="s">
        <v>23</v>
      </c>
      <c r="D134" t="s">
        <v>58</v>
      </c>
      <c r="E134">
        <v>16000000</v>
      </c>
      <c r="F134">
        <v>9009581</v>
      </c>
      <c r="G134">
        <v>6990419</v>
      </c>
      <c r="H134" s="5">
        <f>IFERROR((tbl_raw[[#This Row],[Revenue]]-tbl_raw[[#This Row],[COGS]]) / tbl_raw[[#This Row],[Revenue]], 0)</f>
        <v>0.43690118750000001</v>
      </c>
      <c r="I134" s="5" t="str" cm="1">
        <f t="array" ref="I13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34" s="5">
        <f>_xlfn.XLOOKUP(tbl_raw[[#This Row],[Kategori]], tbl_target[Kategori], tbl_target[Target_Margin], 0)</f>
        <v>0.35</v>
      </c>
      <c r="K134" t="s">
        <v>14</v>
      </c>
      <c r="L134" t="s">
        <v>31</v>
      </c>
      <c r="M134">
        <v>14059152</v>
      </c>
    </row>
    <row r="135" spans="1:13" x14ac:dyDescent="0.3">
      <c r="A135" t="s">
        <v>134</v>
      </c>
      <c r="B135" t="s">
        <v>121</v>
      </c>
      <c r="C135" t="s">
        <v>23</v>
      </c>
      <c r="D135" t="s">
        <v>24</v>
      </c>
      <c r="E135">
        <v>13100000</v>
      </c>
      <c r="F135">
        <v>7216862</v>
      </c>
      <c r="G135">
        <v>5883138</v>
      </c>
      <c r="H135" s="5">
        <f>IFERROR((tbl_raw[[#This Row],[Revenue]]-tbl_raw[[#This Row],[COGS]]) / tbl_raw[[#This Row],[Revenue]], 0)</f>
        <v>0.44909450381679389</v>
      </c>
      <c r="I135" s="5" t="str" cm="1">
        <f t="array" ref="I13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35" s="5">
        <f>_xlfn.XLOOKUP(tbl_raw[[#This Row],[Kategori]], tbl_target[Kategori], tbl_target[Target_Margin], 0)</f>
        <v>0.35</v>
      </c>
      <c r="K135" t="s">
        <v>22</v>
      </c>
      <c r="L135" t="s">
        <v>28</v>
      </c>
      <c r="M135">
        <v>13207062</v>
      </c>
    </row>
    <row r="136" spans="1:13" x14ac:dyDescent="0.3">
      <c r="A136" t="s">
        <v>134</v>
      </c>
      <c r="B136" t="s">
        <v>121</v>
      </c>
      <c r="C136" t="s">
        <v>12</v>
      </c>
      <c r="D136" t="s">
        <v>32</v>
      </c>
      <c r="E136">
        <v>5000000</v>
      </c>
      <c r="F136">
        <v>2282690</v>
      </c>
      <c r="G136">
        <v>2717310</v>
      </c>
      <c r="H136" s="5">
        <f>IFERROR((tbl_raw[[#This Row],[Revenue]]-tbl_raw[[#This Row],[COGS]]) / tbl_raw[[#This Row],[Revenue]], 0)</f>
        <v>0.543462</v>
      </c>
      <c r="I136" s="5" t="str" cm="1">
        <f t="array" ref="I13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36" s="5">
        <f>_xlfn.XLOOKUP(tbl_raw[[#This Row],[Kategori]], tbl_target[Kategori], tbl_target[Target_Margin], 0)</f>
        <v>0.25</v>
      </c>
      <c r="K136" t="s">
        <v>14</v>
      </c>
      <c r="L136" t="s">
        <v>31</v>
      </c>
      <c r="M136">
        <v>4034419</v>
      </c>
    </row>
    <row r="137" spans="1:13" x14ac:dyDescent="0.3">
      <c r="A137" t="s">
        <v>134</v>
      </c>
      <c r="B137" t="s">
        <v>121</v>
      </c>
      <c r="C137" t="s">
        <v>23</v>
      </c>
      <c r="D137" t="s">
        <v>27</v>
      </c>
      <c r="E137">
        <v>2900000</v>
      </c>
      <c r="F137">
        <v>1530696</v>
      </c>
      <c r="G137">
        <v>1369304</v>
      </c>
      <c r="H137" s="5">
        <f>IFERROR((tbl_raw[[#This Row],[Revenue]]-tbl_raw[[#This Row],[COGS]]) / tbl_raw[[#This Row],[Revenue]], 0)</f>
        <v>0.47217379310344826</v>
      </c>
      <c r="I137" s="5" t="str" cm="1">
        <f t="array" ref="I13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37" s="5">
        <f>_xlfn.XLOOKUP(tbl_raw[[#This Row],[Kategori]], tbl_target[Kategori], tbl_target[Target_Margin], 0)</f>
        <v>0.35</v>
      </c>
      <c r="K137" t="s">
        <v>36</v>
      </c>
      <c r="L137" t="s">
        <v>31</v>
      </c>
      <c r="M137">
        <v>2979378</v>
      </c>
    </row>
    <row r="138" spans="1:13" x14ac:dyDescent="0.3">
      <c r="A138" t="s">
        <v>134</v>
      </c>
      <c r="B138" t="s">
        <v>121</v>
      </c>
      <c r="C138" t="s">
        <v>12</v>
      </c>
      <c r="D138" t="s">
        <v>32</v>
      </c>
      <c r="E138">
        <v>14900000</v>
      </c>
      <c r="F138">
        <v>7300436</v>
      </c>
      <c r="G138">
        <v>7599564</v>
      </c>
      <c r="H138" s="5">
        <f>IFERROR((tbl_raw[[#This Row],[Revenue]]-tbl_raw[[#This Row],[COGS]]) / tbl_raw[[#This Row],[Revenue]], 0)</f>
        <v>0.51003785234899324</v>
      </c>
      <c r="I138" s="5" t="str" cm="1">
        <f t="array" ref="I13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38" s="5">
        <f>_xlfn.XLOOKUP(tbl_raw[[#This Row],[Kategori]], tbl_target[Kategori], tbl_target[Target_Margin], 0)</f>
        <v>0.25</v>
      </c>
      <c r="K138" t="s">
        <v>36</v>
      </c>
      <c r="L138" t="s">
        <v>49</v>
      </c>
      <c r="M138">
        <v>18904591</v>
      </c>
    </row>
    <row r="139" spans="1:13" x14ac:dyDescent="0.3">
      <c r="A139" t="s">
        <v>135</v>
      </c>
      <c r="B139" t="s">
        <v>121</v>
      </c>
      <c r="C139" t="s">
        <v>20</v>
      </c>
      <c r="D139" t="s">
        <v>21</v>
      </c>
      <c r="E139">
        <v>11200000</v>
      </c>
      <c r="F139">
        <v>6578975</v>
      </c>
      <c r="G139">
        <v>4621025</v>
      </c>
      <c r="H139" s="5">
        <f>IFERROR((tbl_raw[[#This Row],[Revenue]]-tbl_raw[[#This Row],[COGS]]) / tbl_raw[[#This Row],[Revenue]], 0)</f>
        <v>0.41259151785714288</v>
      </c>
      <c r="I139" s="5" t="str" cm="1">
        <f t="array" ref="I13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39" s="5">
        <f>_xlfn.XLOOKUP(tbl_raw[[#This Row],[Kategori]], tbl_target[Kategori], tbl_target[Target_Margin], 0)</f>
        <v>0.4</v>
      </c>
      <c r="K139" t="s">
        <v>18</v>
      </c>
      <c r="L139" t="s">
        <v>34</v>
      </c>
      <c r="M139">
        <v>13850825</v>
      </c>
    </row>
    <row r="140" spans="1:13" x14ac:dyDescent="0.3">
      <c r="A140" t="s">
        <v>135</v>
      </c>
      <c r="B140" t="s">
        <v>121</v>
      </c>
      <c r="C140" t="s">
        <v>23</v>
      </c>
      <c r="D140" t="s">
        <v>27</v>
      </c>
      <c r="E140">
        <v>16200000</v>
      </c>
      <c r="F140">
        <v>7224752</v>
      </c>
      <c r="G140">
        <v>8975248</v>
      </c>
      <c r="H140" s="5">
        <f>IFERROR((tbl_raw[[#This Row],[Revenue]]-tbl_raw[[#This Row],[COGS]]) / tbl_raw[[#This Row],[Revenue]], 0)</f>
        <v>0.55402765432098766</v>
      </c>
      <c r="I140" s="5" t="str" cm="1">
        <f t="array" ref="I14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40" s="5">
        <f>_xlfn.XLOOKUP(tbl_raw[[#This Row],[Kategori]], tbl_target[Kategori], tbl_target[Target_Margin], 0)</f>
        <v>0.35</v>
      </c>
      <c r="K140" t="s">
        <v>22</v>
      </c>
      <c r="L140" t="s">
        <v>49</v>
      </c>
      <c r="M140">
        <v>16154635</v>
      </c>
    </row>
    <row r="141" spans="1:13" x14ac:dyDescent="0.3">
      <c r="A141" t="s">
        <v>135</v>
      </c>
      <c r="B141" t="s">
        <v>121</v>
      </c>
      <c r="C141" t="s">
        <v>20</v>
      </c>
      <c r="D141" t="s">
        <v>40</v>
      </c>
      <c r="E141">
        <v>16100000</v>
      </c>
      <c r="F141">
        <v>7382446</v>
      </c>
      <c r="G141">
        <v>8717554</v>
      </c>
      <c r="H141" s="5">
        <f>IFERROR((tbl_raw[[#This Row],[Revenue]]-tbl_raw[[#This Row],[COGS]]) / tbl_raw[[#This Row],[Revenue]], 0)</f>
        <v>0.54146298136645965</v>
      </c>
      <c r="I141" s="5" t="str" cm="1">
        <f t="array" ref="I14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41" s="5">
        <f>_xlfn.XLOOKUP(tbl_raw[[#This Row],[Kategori]], tbl_target[Kategori], tbl_target[Target_Margin], 0)</f>
        <v>0.4</v>
      </c>
      <c r="K141" t="s">
        <v>48</v>
      </c>
      <c r="L141" t="s">
        <v>34</v>
      </c>
      <c r="M141">
        <v>13121016</v>
      </c>
    </row>
    <row r="142" spans="1:13" x14ac:dyDescent="0.3">
      <c r="A142" t="s">
        <v>136</v>
      </c>
      <c r="B142" t="s">
        <v>121</v>
      </c>
      <c r="C142" t="s">
        <v>12</v>
      </c>
      <c r="D142" t="s">
        <v>17</v>
      </c>
      <c r="E142">
        <v>14300000</v>
      </c>
      <c r="F142">
        <v>6352906</v>
      </c>
      <c r="G142">
        <v>7947094</v>
      </c>
      <c r="H142" s="5">
        <f>IFERROR((tbl_raw[[#This Row],[Revenue]]-tbl_raw[[#This Row],[COGS]]) / tbl_raw[[#This Row],[Revenue]], 0)</f>
        <v>0.55574083916083916</v>
      </c>
      <c r="I142" s="5" t="str" cm="1">
        <f t="array" ref="I14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42" s="5">
        <f>_xlfn.XLOOKUP(tbl_raw[[#This Row],[Kategori]], tbl_target[Kategori], tbl_target[Target_Margin], 0)</f>
        <v>0.25</v>
      </c>
      <c r="K142" t="s">
        <v>14</v>
      </c>
      <c r="L142" t="s">
        <v>15</v>
      </c>
      <c r="M142">
        <v>15719328</v>
      </c>
    </row>
    <row r="143" spans="1:13" x14ac:dyDescent="0.3">
      <c r="A143" t="s">
        <v>136</v>
      </c>
      <c r="B143" t="s">
        <v>121</v>
      </c>
      <c r="C143" t="s">
        <v>12</v>
      </c>
      <c r="D143" t="s">
        <v>17</v>
      </c>
      <c r="E143">
        <v>1200000</v>
      </c>
      <c r="F143">
        <v>615490</v>
      </c>
      <c r="G143">
        <v>584510</v>
      </c>
      <c r="H143" s="5">
        <f>IFERROR((tbl_raw[[#This Row],[Revenue]]-tbl_raw[[#This Row],[COGS]]) / tbl_raw[[#This Row],[Revenue]], 0)</f>
        <v>0.48709166666666665</v>
      </c>
      <c r="I143" s="5" t="str" cm="1">
        <f t="array" ref="I14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43" s="5">
        <f>_xlfn.XLOOKUP(tbl_raw[[#This Row],[Kategori]], tbl_target[Kategori], tbl_target[Target_Margin], 0)</f>
        <v>0.25</v>
      </c>
      <c r="K143" t="s">
        <v>22</v>
      </c>
      <c r="L143" t="s">
        <v>19</v>
      </c>
      <c r="M143">
        <v>1417424</v>
      </c>
    </row>
    <row r="144" spans="1:13" x14ac:dyDescent="0.3">
      <c r="A144" t="s">
        <v>136</v>
      </c>
      <c r="B144" t="s">
        <v>121</v>
      </c>
      <c r="C144" t="s">
        <v>12</v>
      </c>
      <c r="D144" t="s">
        <v>13</v>
      </c>
      <c r="E144">
        <v>6100000</v>
      </c>
      <c r="F144">
        <v>2780185</v>
      </c>
      <c r="G144">
        <v>3319815</v>
      </c>
      <c r="H144" s="5">
        <f>IFERROR((tbl_raw[[#This Row],[Revenue]]-tbl_raw[[#This Row],[COGS]]) / tbl_raw[[#This Row],[Revenue]], 0)</f>
        <v>0.54423196721311473</v>
      </c>
      <c r="I144" s="5" t="str" cm="1">
        <f t="array" ref="I14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44" s="5">
        <f>_xlfn.XLOOKUP(tbl_raw[[#This Row],[Kategori]], tbl_target[Kategori], tbl_target[Target_Margin], 0)</f>
        <v>0.25</v>
      </c>
      <c r="K144" t="s">
        <v>36</v>
      </c>
      <c r="L144" t="s">
        <v>28</v>
      </c>
      <c r="M144">
        <v>7621549</v>
      </c>
    </row>
    <row r="145" spans="1:13" x14ac:dyDescent="0.3">
      <c r="A145" t="s">
        <v>137</v>
      </c>
      <c r="B145" t="s">
        <v>121</v>
      </c>
      <c r="C145" t="s">
        <v>20</v>
      </c>
      <c r="D145" t="s">
        <v>30</v>
      </c>
      <c r="E145">
        <v>13500000</v>
      </c>
      <c r="F145">
        <v>5215733</v>
      </c>
      <c r="G145">
        <v>8284267</v>
      </c>
      <c r="H145" s="5">
        <f>IFERROR((tbl_raw[[#This Row],[Revenue]]-tbl_raw[[#This Row],[COGS]]) / tbl_raw[[#This Row],[Revenue]], 0)</f>
        <v>0.61364940740740737</v>
      </c>
      <c r="I145" s="5" t="str" cm="1">
        <f t="array" ref="I14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45" s="5">
        <f>_xlfn.XLOOKUP(tbl_raw[[#This Row],[Kategori]], tbl_target[Kategori], tbl_target[Target_Margin], 0)</f>
        <v>0.4</v>
      </c>
      <c r="K145" t="s">
        <v>36</v>
      </c>
      <c r="L145" t="s">
        <v>31</v>
      </c>
      <c r="M145">
        <v>15933496</v>
      </c>
    </row>
    <row r="146" spans="1:13" x14ac:dyDescent="0.3">
      <c r="A146" t="s">
        <v>137</v>
      </c>
      <c r="B146" t="s">
        <v>121</v>
      </c>
      <c r="C146" t="s">
        <v>12</v>
      </c>
      <c r="D146" t="s">
        <v>13</v>
      </c>
      <c r="E146">
        <v>2300000</v>
      </c>
      <c r="F146">
        <v>950208</v>
      </c>
      <c r="G146">
        <v>1349792</v>
      </c>
      <c r="H146" s="5">
        <f>IFERROR((tbl_raw[[#This Row],[Revenue]]-tbl_raw[[#This Row],[COGS]]) / tbl_raw[[#This Row],[Revenue]], 0)</f>
        <v>0.58686608695652176</v>
      </c>
      <c r="I146" s="5" t="str" cm="1">
        <f t="array" ref="I14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46" s="5">
        <f>_xlfn.XLOOKUP(tbl_raw[[#This Row],[Kategori]], tbl_target[Kategori], tbl_target[Target_Margin], 0)</f>
        <v>0.25</v>
      </c>
      <c r="K146" t="s">
        <v>14</v>
      </c>
      <c r="L146" t="s">
        <v>34</v>
      </c>
      <c r="M146">
        <v>2951490</v>
      </c>
    </row>
    <row r="147" spans="1:13" x14ac:dyDescent="0.3">
      <c r="A147" t="s">
        <v>138</v>
      </c>
      <c r="B147" t="s">
        <v>121</v>
      </c>
      <c r="C147" t="s">
        <v>12</v>
      </c>
      <c r="D147" t="s">
        <v>13</v>
      </c>
      <c r="E147">
        <v>3100000</v>
      </c>
      <c r="F147">
        <v>1313165</v>
      </c>
      <c r="G147">
        <v>1786835</v>
      </c>
      <c r="H147" s="5">
        <f>IFERROR((tbl_raw[[#This Row],[Revenue]]-tbl_raw[[#This Row],[COGS]]) / tbl_raw[[#This Row],[Revenue]], 0)</f>
        <v>0.57639838709677416</v>
      </c>
      <c r="I147" s="5" t="str" cm="1">
        <f t="array" ref="I14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47" s="5">
        <f>_xlfn.XLOOKUP(tbl_raw[[#This Row],[Kategori]], tbl_target[Kategori], tbl_target[Target_Margin], 0)</f>
        <v>0.25</v>
      </c>
      <c r="K147" t="s">
        <v>18</v>
      </c>
      <c r="L147" t="s">
        <v>25</v>
      </c>
      <c r="M147">
        <v>3677064</v>
      </c>
    </row>
    <row r="148" spans="1:13" x14ac:dyDescent="0.3">
      <c r="A148" t="s">
        <v>138</v>
      </c>
      <c r="B148" t="s">
        <v>121</v>
      </c>
      <c r="C148" t="s">
        <v>23</v>
      </c>
      <c r="D148" t="s">
        <v>27</v>
      </c>
      <c r="E148">
        <v>11800000</v>
      </c>
      <c r="F148">
        <v>6969431</v>
      </c>
      <c r="G148">
        <v>4830569</v>
      </c>
      <c r="H148" s="5">
        <f>IFERROR((tbl_raw[[#This Row],[Revenue]]-tbl_raw[[#This Row],[COGS]]) / tbl_raw[[#This Row],[Revenue]], 0)</f>
        <v>0.40937025423728812</v>
      </c>
      <c r="I148" s="5" t="str" cm="1">
        <f t="array" ref="I14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48" s="5">
        <f>_xlfn.XLOOKUP(tbl_raw[[#This Row],[Kategori]], tbl_target[Kategori], tbl_target[Target_Margin], 0)</f>
        <v>0.35</v>
      </c>
      <c r="K148" t="s">
        <v>14</v>
      </c>
      <c r="L148" t="s">
        <v>28</v>
      </c>
      <c r="M148">
        <v>13752644</v>
      </c>
    </row>
    <row r="149" spans="1:13" x14ac:dyDescent="0.3">
      <c r="A149" t="s">
        <v>139</v>
      </c>
      <c r="B149" t="s">
        <v>140</v>
      </c>
      <c r="C149" t="s">
        <v>12</v>
      </c>
      <c r="D149" t="s">
        <v>17</v>
      </c>
      <c r="E149">
        <v>11600000</v>
      </c>
      <c r="F149">
        <v>4867689</v>
      </c>
      <c r="G149">
        <v>6732311</v>
      </c>
      <c r="H149" s="5">
        <f>IFERROR((tbl_raw[[#This Row],[Revenue]]-tbl_raw[[#This Row],[COGS]]) / tbl_raw[[#This Row],[Revenue]], 0)</f>
        <v>0.58037163793103452</v>
      </c>
      <c r="I149" s="5" t="str" cm="1">
        <f t="array" ref="I14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49" s="5">
        <f>_xlfn.XLOOKUP(tbl_raw[[#This Row],[Kategori]], tbl_target[Kategori], tbl_target[Target_Margin], 0)</f>
        <v>0.25</v>
      </c>
      <c r="K149" t="s">
        <v>48</v>
      </c>
      <c r="L149" t="s">
        <v>34</v>
      </c>
      <c r="M149">
        <v>14592584</v>
      </c>
    </row>
    <row r="150" spans="1:13" x14ac:dyDescent="0.3">
      <c r="A150" t="s">
        <v>139</v>
      </c>
      <c r="B150" t="s">
        <v>140</v>
      </c>
      <c r="C150" t="s">
        <v>12</v>
      </c>
      <c r="D150" t="s">
        <v>13</v>
      </c>
      <c r="E150">
        <v>6300000</v>
      </c>
      <c r="F150">
        <v>3765301</v>
      </c>
      <c r="G150">
        <v>2534699</v>
      </c>
      <c r="H150" s="5">
        <f>IFERROR((tbl_raw[[#This Row],[Revenue]]-tbl_raw[[#This Row],[COGS]]) / tbl_raw[[#This Row],[Revenue]], 0)</f>
        <v>0.40233317460317458</v>
      </c>
      <c r="I150" s="5" t="str" cm="1">
        <f t="array" ref="I15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50" s="5">
        <f>_xlfn.XLOOKUP(tbl_raw[[#This Row],[Kategori]], tbl_target[Kategori], tbl_target[Target_Margin], 0)</f>
        <v>0.25</v>
      </c>
      <c r="K150" t="s">
        <v>22</v>
      </c>
      <c r="L150" t="s">
        <v>19</v>
      </c>
      <c r="M150">
        <v>6204133</v>
      </c>
    </row>
    <row r="151" spans="1:13" x14ac:dyDescent="0.3">
      <c r="A151" t="s">
        <v>139</v>
      </c>
      <c r="B151" t="s">
        <v>140</v>
      </c>
      <c r="C151" t="s">
        <v>23</v>
      </c>
      <c r="D151" t="s">
        <v>58</v>
      </c>
      <c r="E151">
        <v>7800000</v>
      </c>
      <c r="F151">
        <v>4587465</v>
      </c>
      <c r="G151">
        <v>3212535</v>
      </c>
      <c r="H151" s="5">
        <f>IFERROR((tbl_raw[[#This Row],[Revenue]]-tbl_raw[[#This Row],[COGS]]) / tbl_raw[[#This Row],[Revenue]], 0)</f>
        <v>0.41186346153846154</v>
      </c>
      <c r="I151" s="5" t="str" cm="1">
        <f t="array" ref="I15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51" s="5">
        <f>_xlfn.XLOOKUP(tbl_raw[[#This Row],[Kategori]], tbl_target[Kategori], tbl_target[Target_Margin], 0)</f>
        <v>0.35</v>
      </c>
      <c r="K151" t="s">
        <v>14</v>
      </c>
      <c r="L151" t="s">
        <v>28</v>
      </c>
      <c r="M151">
        <v>8131583</v>
      </c>
    </row>
    <row r="152" spans="1:13" x14ac:dyDescent="0.3">
      <c r="A152" t="s">
        <v>141</v>
      </c>
      <c r="B152" t="s">
        <v>140</v>
      </c>
      <c r="C152" t="s">
        <v>20</v>
      </c>
      <c r="D152" t="s">
        <v>21</v>
      </c>
      <c r="E152">
        <v>16200000</v>
      </c>
      <c r="F152">
        <v>8710311</v>
      </c>
      <c r="G152">
        <v>7489689</v>
      </c>
      <c r="H152" s="5">
        <f>IFERROR((tbl_raw[[#This Row],[Revenue]]-tbl_raw[[#This Row],[COGS]]) / tbl_raw[[#This Row],[Revenue]], 0)</f>
        <v>0.46232648148148148</v>
      </c>
      <c r="I152" s="5" t="str" cm="1">
        <f t="array" ref="I15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52" s="5">
        <f>_xlfn.XLOOKUP(tbl_raw[[#This Row],[Kategori]], tbl_target[Kategori], tbl_target[Target_Margin], 0)</f>
        <v>0.4</v>
      </c>
      <c r="K152" t="s">
        <v>18</v>
      </c>
      <c r="L152" t="s">
        <v>25</v>
      </c>
      <c r="M152">
        <v>13146515</v>
      </c>
    </row>
    <row r="153" spans="1:13" x14ac:dyDescent="0.3">
      <c r="A153" t="s">
        <v>141</v>
      </c>
      <c r="B153" t="s">
        <v>140</v>
      </c>
      <c r="C153" t="s">
        <v>12</v>
      </c>
      <c r="D153" t="s">
        <v>32</v>
      </c>
      <c r="E153">
        <v>10200000</v>
      </c>
      <c r="F153">
        <v>5284055</v>
      </c>
      <c r="G153">
        <v>4915945</v>
      </c>
      <c r="H153" s="5">
        <f>IFERROR((tbl_raw[[#This Row],[Revenue]]-tbl_raw[[#This Row],[COGS]]) / tbl_raw[[#This Row],[Revenue]], 0)</f>
        <v>0.48195539215686273</v>
      </c>
      <c r="I153" s="5" t="str" cm="1">
        <f t="array" ref="I15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53" s="5">
        <f>_xlfn.XLOOKUP(tbl_raw[[#This Row],[Kategori]], tbl_target[Kategori], tbl_target[Target_Margin], 0)</f>
        <v>0.25</v>
      </c>
      <c r="K153" t="s">
        <v>14</v>
      </c>
      <c r="L153" t="s">
        <v>28</v>
      </c>
      <c r="M153">
        <v>12212916</v>
      </c>
    </row>
    <row r="154" spans="1:13" x14ac:dyDescent="0.3">
      <c r="A154" t="s">
        <v>141</v>
      </c>
      <c r="B154" t="s">
        <v>140</v>
      </c>
      <c r="C154" t="s">
        <v>12</v>
      </c>
      <c r="D154" t="s">
        <v>17</v>
      </c>
      <c r="E154">
        <v>3000000</v>
      </c>
      <c r="F154">
        <v>1117575</v>
      </c>
      <c r="G154">
        <v>1882425</v>
      </c>
      <c r="H154" s="5">
        <f>IFERROR((tbl_raw[[#This Row],[Revenue]]-tbl_raw[[#This Row],[COGS]]) / tbl_raw[[#This Row],[Revenue]], 0)</f>
        <v>0.627475</v>
      </c>
      <c r="I154" s="5" t="str" cm="1">
        <f t="array" ref="I15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54" s="5">
        <f>_xlfn.XLOOKUP(tbl_raw[[#This Row],[Kategori]], tbl_target[Kategori], tbl_target[Target_Margin], 0)</f>
        <v>0.25</v>
      </c>
      <c r="K154" t="s">
        <v>14</v>
      </c>
      <c r="L154" t="s">
        <v>34</v>
      </c>
      <c r="M154">
        <v>2434064</v>
      </c>
    </row>
    <row r="155" spans="1:13" x14ac:dyDescent="0.3">
      <c r="A155" t="s">
        <v>141</v>
      </c>
      <c r="B155" t="s">
        <v>140</v>
      </c>
      <c r="C155" t="s">
        <v>20</v>
      </c>
      <c r="D155" t="s">
        <v>21</v>
      </c>
      <c r="E155">
        <v>10100000</v>
      </c>
      <c r="F155">
        <v>3860238</v>
      </c>
      <c r="G155">
        <v>6239762</v>
      </c>
      <c r="H155" s="5">
        <f>IFERROR((tbl_raw[[#This Row],[Revenue]]-tbl_raw[[#This Row],[COGS]]) / tbl_raw[[#This Row],[Revenue]], 0)</f>
        <v>0.61779821782178213</v>
      </c>
      <c r="I155" s="5" t="str" cm="1">
        <f t="array" ref="I15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55" s="5">
        <f>_xlfn.XLOOKUP(tbl_raw[[#This Row],[Kategori]], tbl_target[Kategori], tbl_target[Target_Margin], 0)</f>
        <v>0.4</v>
      </c>
      <c r="K155" t="s">
        <v>14</v>
      </c>
      <c r="L155" t="s">
        <v>25</v>
      </c>
      <c r="M155">
        <v>12321956</v>
      </c>
    </row>
    <row r="156" spans="1:13" x14ac:dyDescent="0.3">
      <c r="A156" t="s">
        <v>142</v>
      </c>
      <c r="B156" t="s">
        <v>140</v>
      </c>
      <c r="C156" t="s">
        <v>23</v>
      </c>
      <c r="D156" t="s">
        <v>58</v>
      </c>
      <c r="E156">
        <v>2100000</v>
      </c>
      <c r="F156">
        <v>925543</v>
      </c>
      <c r="G156">
        <v>1174457</v>
      </c>
      <c r="H156" s="5">
        <f>IFERROR((tbl_raw[[#This Row],[Revenue]]-tbl_raw[[#This Row],[COGS]]) / tbl_raw[[#This Row],[Revenue]], 0)</f>
        <v>0.55926523809523809</v>
      </c>
      <c r="I156" s="5" t="str" cm="1">
        <f t="array" ref="I15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56" s="5">
        <f>_xlfn.XLOOKUP(tbl_raw[[#This Row],[Kategori]], tbl_target[Kategori], tbl_target[Target_Margin], 0)</f>
        <v>0.35</v>
      </c>
      <c r="K156" t="s">
        <v>14</v>
      </c>
      <c r="L156" t="s">
        <v>41</v>
      </c>
      <c r="M156">
        <v>2634707</v>
      </c>
    </row>
    <row r="157" spans="1:13" x14ac:dyDescent="0.3">
      <c r="A157" t="s">
        <v>143</v>
      </c>
      <c r="B157" t="s">
        <v>140</v>
      </c>
      <c r="C157" t="s">
        <v>23</v>
      </c>
      <c r="D157" t="s">
        <v>58</v>
      </c>
      <c r="E157">
        <v>3500000</v>
      </c>
      <c r="F157">
        <v>1690767</v>
      </c>
      <c r="G157">
        <v>1809233</v>
      </c>
      <c r="H157" s="5">
        <f>IFERROR((tbl_raw[[#This Row],[Revenue]]-tbl_raw[[#This Row],[COGS]]) / tbl_raw[[#This Row],[Revenue]], 0)</f>
        <v>0.51692371428571426</v>
      </c>
      <c r="I157" s="5" t="str" cm="1">
        <f t="array" ref="I15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57" s="5">
        <f>_xlfn.XLOOKUP(tbl_raw[[#This Row],[Kategori]], tbl_target[Kategori], tbl_target[Target_Margin], 0)</f>
        <v>0.35</v>
      </c>
      <c r="K157" t="s">
        <v>48</v>
      </c>
      <c r="L157" t="s">
        <v>41</v>
      </c>
      <c r="M157">
        <v>3882005</v>
      </c>
    </row>
    <row r="158" spans="1:13" x14ac:dyDescent="0.3">
      <c r="A158" t="s">
        <v>144</v>
      </c>
      <c r="B158" t="s">
        <v>140</v>
      </c>
      <c r="C158" t="s">
        <v>12</v>
      </c>
      <c r="D158" t="s">
        <v>13</v>
      </c>
      <c r="E158">
        <v>9700000</v>
      </c>
      <c r="F158">
        <v>3937811</v>
      </c>
      <c r="G158">
        <v>5762189</v>
      </c>
      <c r="H158" s="5">
        <f>IFERROR((tbl_raw[[#This Row],[Revenue]]-tbl_raw[[#This Row],[COGS]]) / tbl_raw[[#This Row],[Revenue]], 0)</f>
        <v>0.59404010309278354</v>
      </c>
      <c r="I158" s="5" t="str" cm="1">
        <f t="array" ref="I15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58" s="5">
        <f>_xlfn.XLOOKUP(tbl_raw[[#This Row],[Kategori]], tbl_target[Kategori], tbl_target[Target_Margin], 0)</f>
        <v>0.25</v>
      </c>
      <c r="K158" t="s">
        <v>48</v>
      </c>
      <c r="L158" t="s">
        <v>34</v>
      </c>
      <c r="M158">
        <v>9151288</v>
      </c>
    </row>
    <row r="159" spans="1:13" x14ac:dyDescent="0.3">
      <c r="A159" t="s">
        <v>144</v>
      </c>
      <c r="B159" t="s">
        <v>140</v>
      </c>
      <c r="C159" t="s">
        <v>12</v>
      </c>
      <c r="D159" t="s">
        <v>32</v>
      </c>
      <c r="E159">
        <v>11000000</v>
      </c>
      <c r="F159">
        <v>6548603</v>
      </c>
      <c r="G159">
        <v>4451397</v>
      </c>
      <c r="H159" s="5">
        <f>IFERROR((tbl_raw[[#This Row],[Revenue]]-tbl_raw[[#This Row],[COGS]]) / tbl_raw[[#This Row],[Revenue]], 0)</f>
        <v>0.40467245454545453</v>
      </c>
      <c r="I159" s="5" t="str" cm="1">
        <f t="array" ref="I15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59" s="5">
        <f>_xlfn.XLOOKUP(tbl_raw[[#This Row],[Kategori]], tbl_target[Kategori], tbl_target[Target_Margin], 0)</f>
        <v>0.25</v>
      </c>
      <c r="K159" t="s">
        <v>18</v>
      </c>
      <c r="L159" t="s">
        <v>31</v>
      </c>
      <c r="M159">
        <v>14163212</v>
      </c>
    </row>
    <row r="160" spans="1:13" x14ac:dyDescent="0.3">
      <c r="A160" t="s">
        <v>145</v>
      </c>
      <c r="B160" t="s">
        <v>140</v>
      </c>
      <c r="C160" t="s">
        <v>20</v>
      </c>
      <c r="D160" t="s">
        <v>30</v>
      </c>
      <c r="E160">
        <v>4500000</v>
      </c>
      <c r="F160">
        <v>2107946</v>
      </c>
      <c r="G160">
        <v>2392054</v>
      </c>
      <c r="H160" s="5">
        <f>IFERROR((tbl_raw[[#This Row],[Revenue]]-tbl_raw[[#This Row],[COGS]]) / tbl_raw[[#This Row],[Revenue]], 0)</f>
        <v>0.53156755555555557</v>
      </c>
      <c r="I160" s="5" t="str" cm="1">
        <f t="array" ref="I16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60" s="5">
        <f>_xlfn.XLOOKUP(tbl_raw[[#This Row],[Kategori]], tbl_target[Kategori], tbl_target[Target_Margin], 0)</f>
        <v>0.4</v>
      </c>
      <c r="K160" t="s">
        <v>18</v>
      </c>
      <c r="L160" t="s">
        <v>49</v>
      </c>
      <c r="M160">
        <v>3617151</v>
      </c>
    </row>
    <row r="161" spans="1:13" x14ac:dyDescent="0.3">
      <c r="A161" t="s">
        <v>145</v>
      </c>
      <c r="B161" t="s">
        <v>140</v>
      </c>
      <c r="C161" t="s">
        <v>12</v>
      </c>
      <c r="D161" t="s">
        <v>17</v>
      </c>
      <c r="E161">
        <v>11600000</v>
      </c>
      <c r="F161">
        <v>4724845</v>
      </c>
      <c r="G161">
        <v>6875155</v>
      </c>
      <c r="H161" s="5">
        <f>IFERROR((tbl_raw[[#This Row],[Revenue]]-tbl_raw[[#This Row],[COGS]]) / tbl_raw[[#This Row],[Revenue]], 0)</f>
        <v>0.59268577586206894</v>
      </c>
      <c r="I161" s="5" t="str" cm="1">
        <f t="array" ref="I16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61" s="5">
        <f>_xlfn.XLOOKUP(tbl_raw[[#This Row],[Kategori]], tbl_target[Kategori], tbl_target[Target_Margin], 0)</f>
        <v>0.25</v>
      </c>
      <c r="K161" t="s">
        <v>18</v>
      </c>
      <c r="L161" t="s">
        <v>19</v>
      </c>
      <c r="M161">
        <v>13993077</v>
      </c>
    </row>
    <row r="162" spans="1:13" x14ac:dyDescent="0.3">
      <c r="A162" t="s">
        <v>146</v>
      </c>
      <c r="B162" t="s">
        <v>140</v>
      </c>
      <c r="C162" t="s">
        <v>20</v>
      </c>
      <c r="D162" t="s">
        <v>30</v>
      </c>
      <c r="E162">
        <v>18800000</v>
      </c>
      <c r="F162">
        <v>6582801</v>
      </c>
      <c r="G162">
        <v>12217199</v>
      </c>
      <c r="H162" s="5">
        <f>IFERROR((tbl_raw[[#This Row],[Revenue]]-tbl_raw[[#This Row],[COGS]]) / tbl_raw[[#This Row],[Revenue]], 0)</f>
        <v>0.64985101063829787</v>
      </c>
      <c r="I162" s="5" t="str" cm="1">
        <f t="array" ref="I16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62" s="5">
        <f>_xlfn.XLOOKUP(tbl_raw[[#This Row],[Kategori]], tbl_target[Kategori], tbl_target[Target_Margin], 0)</f>
        <v>0.4</v>
      </c>
      <c r="K162" t="s">
        <v>14</v>
      </c>
      <c r="L162" t="s">
        <v>31</v>
      </c>
      <c r="M162">
        <v>22499783</v>
      </c>
    </row>
    <row r="163" spans="1:13" x14ac:dyDescent="0.3">
      <c r="A163" t="s">
        <v>146</v>
      </c>
      <c r="B163" t="s">
        <v>140</v>
      </c>
      <c r="C163" t="s">
        <v>23</v>
      </c>
      <c r="D163" t="s">
        <v>27</v>
      </c>
      <c r="E163">
        <v>6600000</v>
      </c>
      <c r="F163">
        <v>2418870</v>
      </c>
      <c r="G163">
        <v>4181130</v>
      </c>
      <c r="H163" s="5">
        <f>IFERROR((tbl_raw[[#This Row],[Revenue]]-tbl_raw[[#This Row],[COGS]]) / tbl_raw[[#This Row],[Revenue]], 0)</f>
        <v>0.63350454545454549</v>
      </c>
      <c r="I163" s="5" t="str" cm="1">
        <f t="array" ref="I16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63" s="5">
        <f>_xlfn.XLOOKUP(tbl_raw[[#This Row],[Kategori]], tbl_target[Kategori], tbl_target[Target_Margin], 0)</f>
        <v>0.35</v>
      </c>
      <c r="K163" t="s">
        <v>18</v>
      </c>
      <c r="L163" t="s">
        <v>15</v>
      </c>
      <c r="M163">
        <v>7822120</v>
      </c>
    </row>
    <row r="164" spans="1:13" x14ac:dyDescent="0.3">
      <c r="A164" t="s">
        <v>147</v>
      </c>
      <c r="B164" t="s">
        <v>140</v>
      </c>
      <c r="C164" t="s">
        <v>23</v>
      </c>
      <c r="D164" t="s">
        <v>24</v>
      </c>
      <c r="E164">
        <v>1600000</v>
      </c>
      <c r="F164">
        <v>852976</v>
      </c>
      <c r="G164">
        <v>747024</v>
      </c>
      <c r="H164" s="5">
        <f>IFERROR((tbl_raw[[#This Row],[Revenue]]-tbl_raw[[#This Row],[COGS]]) / tbl_raw[[#This Row],[Revenue]], 0)</f>
        <v>0.46689000000000003</v>
      </c>
      <c r="I164" s="5" t="str" cm="1">
        <f t="array" ref="I16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64" s="5">
        <f>_xlfn.XLOOKUP(tbl_raw[[#This Row],[Kategori]], tbl_target[Kategori], tbl_target[Target_Margin], 0)</f>
        <v>0.35</v>
      </c>
      <c r="K164" t="s">
        <v>48</v>
      </c>
      <c r="L164" t="s">
        <v>25</v>
      </c>
      <c r="M164">
        <v>1436684</v>
      </c>
    </row>
    <row r="165" spans="1:13" x14ac:dyDescent="0.3">
      <c r="A165" t="s">
        <v>147</v>
      </c>
      <c r="B165" t="s">
        <v>140</v>
      </c>
      <c r="C165" t="s">
        <v>12</v>
      </c>
      <c r="D165" t="s">
        <v>32</v>
      </c>
      <c r="E165">
        <v>11600000</v>
      </c>
      <c r="F165">
        <v>6639945</v>
      </c>
      <c r="G165">
        <v>4960055</v>
      </c>
      <c r="H165" s="5">
        <f>IFERROR((tbl_raw[[#This Row],[Revenue]]-tbl_raw[[#This Row],[COGS]]) / tbl_raw[[#This Row],[Revenue]], 0)</f>
        <v>0.42759094827586208</v>
      </c>
      <c r="I165" s="5" t="str" cm="1">
        <f t="array" ref="I16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65" s="5">
        <f>_xlfn.XLOOKUP(tbl_raw[[#This Row],[Kategori]], tbl_target[Kategori], tbl_target[Target_Margin], 0)</f>
        <v>0.25</v>
      </c>
      <c r="K165" t="s">
        <v>48</v>
      </c>
      <c r="L165" t="s">
        <v>31</v>
      </c>
      <c r="M165">
        <v>11813491</v>
      </c>
    </row>
    <row r="166" spans="1:13" x14ac:dyDescent="0.3">
      <c r="A166" t="s">
        <v>148</v>
      </c>
      <c r="B166" t="s">
        <v>140</v>
      </c>
      <c r="C166" t="s">
        <v>23</v>
      </c>
      <c r="D166" t="s">
        <v>27</v>
      </c>
      <c r="E166">
        <v>9400000</v>
      </c>
      <c r="F166">
        <v>5398393</v>
      </c>
      <c r="G166">
        <v>4001607</v>
      </c>
      <c r="H166" s="5">
        <f>IFERROR((tbl_raw[[#This Row],[Revenue]]-tbl_raw[[#This Row],[COGS]]) / tbl_raw[[#This Row],[Revenue]], 0)</f>
        <v>0.42570287234042553</v>
      </c>
      <c r="I166" s="5" t="str" cm="1">
        <f t="array" ref="I16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66" s="5">
        <f>_xlfn.XLOOKUP(tbl_raw[[#This Row],[Kategori]], tbl_target[Kategori], tbl_target[Target_Margin], 0)</f>
        <v>0.35</v>
      </c>
      <c r="K166" t="s">
        <v>22</v>
      </c>
      <c r="L166" t="s">
        <v>31</v>
      </c>
      <c r="M166">
        <v>7952982</v>
      </c>
    </row>
    <row r="167" spans="1:13" x14ac:dyDescent="0.3">
      <c r="A167" t="s">
        <v>148</v>
      </c>
      <c r="B167" t="s">
        <v>140</v>
      </c>
      <c r="C167" t="s">
        <v>23</v>
      </c>
      <c r="D167" t="s">
        <v>27</v>
      </c>
      <c r="E167">
        <v>15400000</v>
      </c>
      <c r="F167">
        <v>7873284</v>
      </c>
      <c r="G167">
        <v>7526716</v>
      </c>
      <c r="H167" s="5">
        <f>IFERROR((tbl_raw[[#This Row],[Revenue]]-tbl_raw[[#This Row],[COGS]]) / tbl_raw[[#This Row],[Revenue]], 0)</f>
        <v>0.48874779220779219</v>
      </c>
      <c r="I167" s="5" t="str" cm="1">
        <f t="array" ref="I16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67" s="5">
        <f>_xlfn.XLOOKUP(tbl_raw[[#This Row],[Kategori]], tbl_target[Kategori], tbl_target[Target_Margin], 0)</f>
        <v>0.35</v>
      </c>
      <c r="K167" t="s">
        <v>48</v>
      </c>
      <c r="L167" t="s">
        <v>49</v>
      </c>
      <c r="M167">
        <v>16933110</v>
      </c>
    </row>
    <row r="168" spans="1:13" x14ac:dyDescent="0.3">
      <c r="A168" t="s">
        <v>149</v>
      </c>
      <c r="B168" t="s">
        <v>140</v>
      </c>
      <c r="C168" t="s">
        <v>23</v>
      </c>
      <c r="D168" t="s">
        <v>24</v>
      </c>
      <c r="E168">
        <v>4700000</v>
      </c>
      <c r="F168">
        <v>2391016</v>
      </c>
      <c r="G168">
        <v>2308984</v>
      </c>
      <c r="H168" s="5">
        <f>IFERROR((tbl_raw[[#This Row],[Revenue]]-tbl_raw[[#This Row],[COGS]]) / tbl_raw[[#This Row],[Revenue]], 0)</f>
        <v>0.49127319148936172</v>
      </c>
      <c r="I168" s="5" t="str" cm="1">
        <f t="array" ref="I16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68" s="5">
        <f>_xlfn.XLOOKUP(tbl_raw[[#This Row],[Kategori]], tbl_target[Kategori], tbl_target[Target_Margin], 0)</f>
        <v>0.35</v>
      </c>
      <c r="K168" t="s">
        <v>48</v>
      </c>
      <c r="L168" t="s">
        <v>15</v>
      </c>
      <c r="M168">
        <v>5778510</v>
      </c>
    </row>
    <row r="169" spans="1:13" x14ac:dyDescent="0.3">
      <c r="A169" t="s">
        <v>149</v>
      </c>
      <c r="B169" t="s">
        <v>140</v>
      </c>
      <c r="C169" t="s">
        <v>12</v>
      </c>
      <c r="D169" t="s">
        <v>17</v>
      </c>
      <c r="E169">
        <v>5100000</v>
      </c>
      <c r="F169">
        <v>2469598</v>
      </c>
      <c r="G169">
        <v>2630402</v>
      </c>
      <c r="H169" s="5">
        <f>IFERROR((tbl_raw[[#This Row],[Revenue]]-tbl_raw[[#This Row],[COGS]]) / tbl_raw[[#This Row],[Revenue]], 0)</f>
        <v>0.51576509803921566</v>
      </c>
      <c r="I169" s="5" t="str" cm="1">
        <f t="array" ref="I16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69" s="5">
        <f>_xlfn.XLOOKUP(tbl_raw[[#This Row],[Kategori]], tbl_target[Kategori], tbl_target[Target_Margin], 0)</f>
        <v>0.25</v>
      </c>
      <c r="K169" t="s">
        <v>18</v>
      </c>
      <c r="L169" t="s">
        <v>34</v>
      </c>
      <c r="M169">
        <v>4506785</v>
      </c>
    </row>
    <row r="170" spans="1:13" x14ac:dyDescent="0.3">
      <c r="A170" t="s">
        <v>149</v>
      </c>
      <c r="B170" t="s">
        <v>140</v>
      </c>
      <c r="C170" t="s">
        <v>23</v>
      </c>
      <c r="D170" t="s">
        <v>27</v>
      </c>
      <c r="E170">
        <v>11200000</v>
      </c>
      <c r="F170">
        <v>6038142</v>
      </c>
      <c r="G170">
        <v>5161858</v>
      </c>
      <c r="H170" s="5">
        <f>IFERROR((tbl_raw[[#This Row],[Revenue]]-tbl_raw[[#This Row],[COGS]]) / tbl_raw[[#This Row],[Revenue]], 0)</f>
        <v>0.46088017857142854</v>
      </c>
      <c r="I170" s="5" t="str" cm="1">
        <f t="array" ref="I17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70" s="5">
        <f>_xlfn.XLOOKUP(tbl_raw[[#This Row],[Kategori]], tbl_target[Kategori], tbl_target[Target_Margin], 0)</f>
        <v>0.35</v>
      </c>
      <c r="K170" t="s">
        <v>14</v>
      </c>
      <c r="L170" t="s">
        <v>34</v>
      </c>
      <c r="M170">
        <v>9690858</v>
      </c>
    </row>
    <row r="171" spans="1:13" x14ac:dyDescent="0.3">
      <c r="A171" t="s">
        <v>150</v>
      </c>
      <c r="B171" t="s">
        <v>140</v>
      </c>
      <c r="C171" t="s">
        <v>20</v>
      </c>
      <c r="D171" t="s">
        <v>21</v>
      </c>
      <c r="E171">
        <v>10500000</v>
      </c>
      <c r="F171">
        <v>5227468</v>
      </c>
      <c r="G171">
        <v>5272532</v>
      </c>
      <c r="H171" s="5">
        <f>IFERROR((tbl_raw[[#This Row],[Revenue]]-tbl_raw[[#This Row],[COGS]]) / tbl_raw[[#This Row],[Revenue]], 0)</f>
        <v>0.50214590476190479</v>
      </c>
      <c r="I171" s="5" t="str" cm="1">
        <f t="array" ref="I17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71" s="5">
        <f>_xlfn.XLOOKUP(tbl_raw[[#This Row],[Kategori]], tbl_target[Kategori], tbl_target[Target_Margin], 0)</f>
        <v>0.4</v>
      </c>
      <c r="K171" t="s">
        <v>18</v>
      </c>
      <c r="L171" t="s">
        <v>31</v>
      </c>
      <c r="M171">
        <v>9705009</v>
      </c>
    </row>
    <row r="172" spans="1:13" x14ac:dyDescent="0.3">
      <c r="A172" t="s">
        <v>150</v>
      </c>
      <c r="B172" t="s">
        <v>140</v>
      </c>
      <c r="C172" t="s">
        <v>23</v>
      </c>
      <c r="D172" t="s">
        <v>58</v>
      </c>
      <c r="E172">
        <v>900000</v>
      </c>
      <c r="F172">
        <v>340083</v>
      </c>
      <c r="G172">
        <v>559917</v>
      </c>
      <c r="H172" s="5">
        <f>IFERROR((tbl_raw[[#This Row],[Revenue]]-tbl_raw[[#This Row],[COGS]]) / tbl_raw[[#This Row],[Revenue]], 0)</f>
        <v>0.62212999999999996</v>
      </c>
      <c r="I172" s="5" t="str" cm="1">
        <f t="array" ref="I17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72" s="5">
        <f>_xlfn.XLOOKUP(tbl_raw[[#This Row],[Kategori]], tbl_target[Kategori], tbl_target[Target_Margin], 0)</f>
        <v>0.35</v>
      </c>
      <c r="K172" t="s">
        <v>14</v>
      </c>
      <c r="L172" t="s">
        <v>28</v>
      </c>
      <c r="M172">
        <v>981831</v>
      </c>
    </row>
    <row r="173" spans="1:13" x14ac:dyDescent="0.3">
      <c r="A173" t="s">
        <v>151</v>
      </c>
      <c r="B173" t="s">
        <v>140</v>
      </c>
      <c r="C173" t="s">
        <v>23</v>
      </c>
      <c r="D173" t="s">
        <v>27</v>
      </c>
      <c r="E173">
        <v>2100000</v>
      </c>
      <c r="F173">
        <v>994309</v>
      </c>
      <c r="G173">
        <v>1105691</v>
      </c>
      <c r="H173" s="5">
        <f>IFERROR((tbl_raw[[#This Row],[Revenue]]-tbl_raw[[#This Row],[COGS]]) / tbl_raw[[#This Row],[Revenue]], 0)</f>
        <v>0.52651952380952383</v>
      </c>
      <c r="I173" s="5" t="str" cm="1">
        <f t="array" ref="I17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73" s="5">
        <f>_xlfn.XLOOKUP(tbl_raw[[#This Row],[Kategori]], tbl_target[Kategori], tbl_target[Target_Margin], 0)</f>
        <v>0.35</v>
      </c>
      <c r="K173" t="s">
        <v>22</v>
      </c>
      <c r="L173" t="s">
        <v>34</v>
      </c>
      <c r="M173">
        <v>2627828</v>
      </c>
    </row>
    <row r="174" spans="1:13" x14ac:dyDescent="0.3">
      <c r="A174" t="s">
        <v>152</v>
      </c>
      <c r="B174" t="s">
        <v>140</v>
      </c>
      <c r="C174" t="s">
        <v>12</v>
      </c>
      <c r="D174" t="s">
        <v>13</v>
      </c>
      <c r="E174">
        <v>15600000</v>
      </c>
      <c r="F174">
        <v>6617206</v>
      </c>
      <c r="G174">
        <v>8982794</v>
      </c>
      <c r="H174" s="5">
        <f>IFERROR((tbl_raw[[#This Row],[Revenue]]-tbl_raw[[#This Row],[COGS]]) / tbl_raw[[#This Row],[Revenue]], 0)</f>
        <v>0.57582012820512818</v>
      </c>
      <c r="I174" s="5" t="str" cm="1">
        <f t="array" ref="I17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74" s="5">
        <f>_xlfn.XLOOKUP(tbl_raw[[#This Row],[Kategori]], tbl_target[Kategori], tbl_target[Target_Margin], 0)</f>
        <v>0.25</v>
      </c>
      <c r="K174" t="s">
        <v>18</v>
      </c>
      <c r="L174" t="s">
        <v>25</v>
      </c>
      <c r="M174">
        <v>15695799</v>
      </c>
    </row>
    <row r="175" spans="1:13" x14ac:dyDescent="0.3">
      <c r="A175" t="s">
        <v>152</v>
      </c>
      <c r="B175" t="s">
        <v>140</v>
      </c>
      <c r="C175" t="s">
        <v>23</v>
      </c>
      <c r="D175" t="s">
        <v>58</v>
      </c>
      <c r="E175">
        <v>15800000</v>
      </c>
      <c r="F175">
        <v>6839091</v>
      </c>
      <c r="G175">
        <v>8960909</v>
      </c>
      <c r="H175" s="5">
        <f>IFERROR((tbl_raw[[#This Row],[Revenue]]-tbl_raw[[#This Row],[COGS]]) / tbl_raw[[#This Row],[Revenue]], 0)</f>
        <v>0.56714613924050628</v>
      </c>
      <c r="I175" s="5" t="str" cm="1">
        <f t="array" ref="I17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75" s="5">
        <f>_xlfn.XLOOKUP(tbl_raw[[#This Row],[Kategori]], tbl_target[Kategori], tbl_target[Target_Margin], 0)</f>
        <v>0.35</v>
      </c>
      <c r="K175" t="s">
        <v>48</v>
      </c>
      <c r="L175" t="s">
        <v>31</v>
      </c>
      <c r="M175">
        <v>13506429</v>
      </c>
    </row>
    <row r="176" spans="1:13" x14ac:dyDescent="0.3">
      <c r="A176" t="s">
        <v>153</v>
      </c>
      <c r="B176" t="s">
        <v>140</v>
      </c>
      <c r="C176" t="s">
        <v>20</v>
      </c>
      <c r="D176" t="s">
        <v>40</v>
      </c>
      <c r="E176">
        <v>2000000</v>
      </c>
      <c r="F176">
        <v>921557</v>
      </c>
      <c r="G176">
        <v>1078443</v>
      </c>
      <c r="H176" s="5">
        <f>IFERROR((tbl_raw[[#This Row],[Revenue]]-tbl_raw[[#This Row],[COGS]]) / tbl_raw[[#This Row],[Revenue]], 0)</f>
        <v>0.53922150000000002</v>
      </c>
      <c r="I176" s="5" t="str" cm="1">
        <f t="array" ref="I17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76" s="5">
        <f>_xlfn.XLOOKUP(tbl_raw[[#This Row],[Kategori]], tbl_target[Kategori], tbl_target[Target_Margin], 0)</f>
        <v>0.4</v>
      </c>
      <c r="K176" t="s">
        <v>22</v>
      </c>
      <c r="L176" t="s">
        <v>34</v>
      </c>
      <c r="M176">
        <v>2321547</v>
      </c>
    </row>
    <row r="177" spans="1:13" x14ac:dyDescent="0.3">
      <c r="A177" t="s">
        <v>154</v>
      </c>
      <c r="B177" t="s">
        <v>140</v>
      </c>
      <c r="C177" t="s">
        <v>20</v>
      </c>
      <c r="D177" t="s">
        <v>40</v>
      </c>
      <c r="E177">
        <v>17000000</v>
      </c>
      <c r="F177">
        <v>8795354</v>
      </c>
      <c r="G177">
        <v>8204646</v>
      </c>
      <c r="H177" s="5">
        <f>IFERROR((tbl_raw[[#This Row],[Revenue]]-tbl_raw[[#This Row],[COGS]]) / tbl_raw[[#This Row],[Revenue]], 0)</f>
        <v>0.48262623529411763</v>
      </c>
      <c r="I177" s="5" t="str" cm="1">
        <f t="array" ref="I17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77" s="5">
        <f>_xlfn.XLOOKUP(tbl_raw[[#This Row],[Kategori]], tbl_target[Kategori], tbl_target[Target_Margin], 0)</f>
        <v>0.4</v>
      </c>
      <c r="K177" t="s">
        <v>36</v>
      </c>
      <c r="L177" t="s">
        <v>28</v>
      </c>
      <c r="M177">
        <v>19809690</v>
      </c>
    </row>
    <row r="178" spans="1:13" x14ac:dyDescent="0.3">
      <c r="A178" t="s">
        <v>155</v>
      </c>
      <c r="B178" t="s">
        <v>140</v>
      </c>
      <c r="C178" t="s">
        <v>23</v>
      </c>
      <c r="D178" t="s">
        <v>58</v>
      </c>
      <c r="E178">
        <v>10700000</v>
      </c>
      <c r="F178">
        <v>4035808</v>
      </c>
      <c r="G178">
        <v>6664192</v>
      </c>
      <c r="H178" s="5">
        <f>IFERROR((tbl_raw[[#This Row],[Revenue]]-tbl_raw[[#This Row],[COGS]]) / tbl_raw[[#This Row],[Revenue]], 0)</f>
        <v>0.62282168224299062</v>
      </c>
      <c r="I178" s="5" t="str" cm="1">
        <f t="array" ref="I17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78" s="5">
        <f>_xlfn.XLOOKUP(tbl_raw[[#This Row],[Kategori]], tbl_target[Kategori], tbl_target[Target_Margin], 0)</f>
        <v>0.35</v>
      </c>
      <c r="K178" t="s">
        <v>22</v>
      </c>
      <c r="L178" t="s">
        <v>41</v>
      </c>
      <c r="M178">
        <v>11474066</v>
      </c>
    </row>
    <row r="179" spans="1:13" x14ac:dyDescent="0.3">
      <c r="A179" t="s">
        <v>156</v>
      </c>
      <c r="B179" t="s">
        <v>140</v>
      </c>
      <c r="C179" t="s">
        <v>23</v>
      </c>
      <c r="D179" t="s">
        <v>24</v>
      </c>
      <c r="E179">
        <v>16300000</v>
      </c>
      <c r="F179">
        <v>7735170</v>
      </c>
      <c r="G179">
        <v>8564830</v>
      </c>
      <c r="H179" s="5">
        <f>IFERROR((tbl_raw[[#This Row],[Revenue]]-tbl_raw[[#This Row],[COGS]]) / tbl_raw[[#This Row],[Revenue]], 0)</f>
        <v>0.52544969325153379</v>
      </c>
      <c r="I179" s="5" t="str" cm="1">
        <f t="array" ref="I17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79" s="5">
        <f>_xlfn.XLOOKUP(tbl_raw[[#This Row],[Kategori]], tbl_target[Kategori], tbl_target[Target_Margin], 0)</f>
        <v>0.35</v>
      </c>
      <c r="K179" t="s">
        <v>18</v>
      </c>
      <c r="L179" t="s">
        <v>31</v>
      </c>
      <c r="M179">
        <v>17401994</v>
      </c>
    </row>
    <row r="180" spans="1:13" x14ac:dyDescent="0.3">
      <c r="A180" t="s">
        <v>156</v>
      </c>
      <c r="B180" t="s">
        <v>140</v>
      </c>
      <c r="C180" t="s">
        <v>20</v>
      </c>
      <c r="D180" t="s">
        <v>21</v>
      </c>
      <c r="E180">
        <v>7600000</v>
      </c>
      <c r="F180">
        <v>3259887</v>
      </c>
      <c r="G180">
        <v>4340113</v>
      </c>
      <c r="H180" s="5">
        <f>IFERROR((tbl_raw[[#This Row],[Revenue]]-tbl_raw[[#This Row],[COGS]]) / tbl_raw[[#This Row],[Revenue]], 0)</f>
        <v>0.57106749999999995</v>
      </c>
      <c r="I180" s="5" t="str" cm="1">
        <f t="array" ref="I18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80" s="5">
        <f>_xlfn.XLOOKUP(tbl_raw[[#This Row],[Kategori]], tbl_target[Kategori], tbl_target[Target_Margin], 0)</f>
        <v>0.4</v>
      </c>
      <c r="K180" t="s">
        <v>22</v>
      </c>
      <c r="L180" t="s">
        <v>25</v>
      </c>
      <c r="M180">
        <v>8383868</v>
      </c>
    </row>
    <row r="181" spans="1:13" x14ac:dyDescent="0.3">
      <c r="A181" t="s">
        <v>156</v>
      </c>
      <c r="B181" t="s">
        <v>140</v>
      </c>
      <c r="C181" t="s">
        <v>23</v>
      </c>
      <c r="D181" t="s">
        <v>58</v>
      </c>
      <c r="E181">
        <v>12700000</v>
      </c>
      <c r="F181">
        <v>7117012</v>
      </c>
      <c r="G181">
        <v>5582988</v>
      </c>
      <c r="H181" s="5">
        <f>IFERROR((tbl_raw[[#This Row],[Revenue]]-tbl_raw[[#This Row],[COGS]]) / tbl_raw[[#This Row],[Revenue]], 0)</f>
        <v>0.43960535433070869</v>
      </c>
      <c r="I181" s="5" t="str" cm="1">
        <f t="array" ref="I18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81" s="5">
        <f>_xlfn.XLOOKUP(tbl_raw[[#This Row],[Kategori]], tbl_target[Kategori], tbl_target[Target_Margin], 0)</f>
        <v>0.35</v>
      </c>
      <c r="K181" t="s">
        <v>18</v>
      </c>
      <c r="L181" t="s">
        <v>41</v>
      </c>
      <c r="M181">
        <v>11029055</v>
      </c>
    </row>
    <row r="182" spans="1:13" x14ac:dyDescent="0.3">
      <c r="A182" t="s">
        <v>157</v>
      </c>
      <c r="B182" t="s">
        <v>140</v>
      </c>
      <c r="C182" t="s">
        <v>23</v>
      </c>
      <c r="D182" t="s">
        <v>58</v>
      </c>
      <c r="E182">
        <v>3200000</v>
      </c>
      <c r="F182">
        <v>1122534</v>
      </c>
      <c r="G182">
        <v>2077466</v>
      </c>
      <c r="H182" s="5">
        <f>IFERROR((tbl_raw[[#This Row],[Revenue]]-tbl_raw[[#This Row],[COGS]]) / tbl_raw[[#This Row],[Revenue]], 0)</f>
        <v>0.64920812500000002</v>
      </c>
      <c r="I182" s="5" t="str" cm="1">
        <f t="array" ref="I18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82" s="5">
        <f>_xlfn.XLOOKUP(tbl_raw[[#This Row],[Kategori]], tbl_target[Kategori], tbl_target[Target_Margin], 0)</f>
        <v>0.35</v>
      </c>
      <c r="K182" t="s">
        <v>36</v>
      </c>
      <c r="L182" t="s">
        <v>34</v>
      </c>
      <c r="M182">
        <v>3633858</v>
      </c>
    </row>
    <row r="183" spans="1:13" x14ac:dyDescent="0.3">
      <c r="A183" t="s">
        <v>158</v>
      </c>
      <c r="B183" t="s">
        <v>140</v>
      </c>
      <c r="C183" t="s">
        <v>23</v>
      </c>
      <c r="D183" t="s">
        <v>24</v>
      </c>
      <c r="E183">
        <v>1600000</v>
      </c>
      <c r="F183">
        <v>822644</v>
      </c>
      <c r="G183">
        <v>777356</v>
      </c>
      <c r="H183" s="5">
        <f>IFERROR((tbl_raw[[#This Row],[Revenue]]-tbl_raw[[#This Row],[COGS]]) / tbl_raw[[#This Row],[Revenue]], 0)</f>
        <v>0.48584749999999999</v>
      </c>
      <c r="I183" s="5" t="str" cm="1">
        <f t="array" ref="I18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83" s="5">
        <f>_xlfn.XLOOKUP(tbl_raw[[#This Row],[Kategori]], tbl_target[Kategori], tbl_target[Target_Margin], 0)</f>
        <v>0.35</v>
      </c>
      <c r="K183" t="s">
        <v>18</v>
      </c>
      <c r="L183" t="s">
        <v>28</v>
      </c>
      <c r="M183">
        <v>2047543</v>
      </c>
    </row>
    <row r="184" spans="1:13" x14ac:dyDescent="0.3">
      <c r="A184" t="s">
        <v>158</v>
      </c>
      <c r="B184" t="s">
        <v>140</v>
      </c>
      <c r="C184" t="s">
        <v>23</v>
      </c>
      <c r="D184" t="s">
        <v>58</v>
      </c>
      <c r="E184">
        <v>9200000</v>
      </c>
      <c r="F184">
        <v>4038329</v>
      </c>
      <c r="G184">
        <v>5161671</v>
      </c>
      <c r="H184" s="5">
        <f>IFERROR((tbl_raw[[#This Row],[Revenue]]-tbl_raw[[#This Row],[COGS]]) / tbl_raw[[#This Row],[Revenue]], 0)</f>
        <v>0.56105119565217387</v>
      </c>
      <c r="I184" s="5" t="str" cm="1">
        <f t="array" ref="I18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84" s="5">
        <f>_xlfn.XLOOKUP(tbl_raw[[#This Row],[Kategori]], tbl_target[Kategori], tbl_target[Target_Margin], 0)</f>
        <v>0.35</v>
      </c>
      <c r="K184" t="s">
        <v>14</v>
      </c>
      <c r="L184" t="s">
        <v>15</v>
      </c>
      <c r="M184">
        <v>11120029</v>
      </c>
    </row>
    <row r="185" spans="1:13" x14ac:dyDescent="0.3">
      <c r="A185" t="s">
        <v>158</v>
      </c>
      <c r="B185" t="s">
        <v>140</v>
      </c>
      <c r="C185" t="s">
        <v>23</v>
      </c>
      <c r="D185" t="s">
        <v>27</v>
      </c>
      <c r="E185">
        <v>5200000</v>
      </c>
      <c r="F185">
        <v>2910942</v>
      </c>
      <c r="G185">
        <v>2289058</v>
      </c>
      <c r="H185" s="5">
        <f>IFERROR((tbl_raw[[#This Row],[Revenue]]-tbl_raw[[#This Row],[COGS]]) / tbl_raw[[#This Row],[Revenue]], 0)</f>
        <v>0.44020346153846152</v>
      </c>
      <c r="I185" s="5" t="str" cm="1">
        <f t="array" ref="I18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85" s="5">
        <f>_xlfn.XLOOKUP(tbl_raw[[#This Row],[Kategori]], tbl_target[Kategori], tbl_target[Target_Margin], 0)</f>
        <v>0.35</v>
      </c>
      <c r="K185" t="s">
        <v>48</v>
      </c>
      <c r="L185" t="s">
        <v>28</v>
      </c>
      <c r="M185">
        <v>6258401</v>
      </c>
    </row>
    <row r="186" spans="1:13" x14ac:dyDescent="0.3">
      <c r="A186" t="s">
        <v>158</v>
      </c>
      <c r="B186" t="s">
        <v>140</v>
      </c>
      <c r="C186" t="s">
        <v>23</v>
      </c>
      <c r="D186" t="s">
        <v>58</v>
      </c>
      <c r="E186">
        <v>18000000</v>
      </c>
      <c r="F186">
        <v>7267808</v>
      </c>
      <c r="G186">
        <v>10732192</v>
      </c>
      <c r="H186" s="5">
        <f>IFERROR((tbl_raw[[#This Row],[Revenue]]-tbl_raw[[#This Row],[COGS]]) / tbl_raw[[#This Row],[Revenue]], 0)</f>
        <v>0.59623288888888892</v>
      </c>
      <c r="I186" s="5" t="str" cm="1">
        <f t="array" ref="I18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86" s="5">
        <f>_xlfn.XLOOKUP(tbl_raw[[#This Row],[Kategori]], tbl_target[Kategori], tbl_target[Target_Margin], 0)</f>
        <v>0.35</v>
      </c>
      <c r="K186" t="s">
        <v>48</v>
      </c>
      <c r="L186" t="s">
        <v>15</v>
      </c>
      <c r="M186">
        <v>18386084</v>
      </c>
    </row>
    <row r="187" spans="1:13" x14ac:dyDescent="0.3">
      <c r="A187" t="s">
        <v>159</v>
      </c>
      <c r="B187" t="s">
        <v>160</v>
      </c>
      <c r="C187" t="s">
        <v>12</v>
      </c>
      <c r="D187" t="s">
        <v>17</v>
      </c>
      <c r="E187">
        <v>10000000</v>
      </c>
      <c r="F187">
        <v>5793959</v>
      </c>
      <c r="G187">
        <v>4206041</v>
      </c>
      <c r="H187" s="5">
        <f>IFERROR((tbl_raw[[#This Row],[Revenue]]-tbl_raw[[#This Row],[COGS]]) / tbl_raw[[#This Row],[Revenue]], 0)</f>
        <v>0.42060409999999998</v>
      </c>
      <c r="I187" s="5" t="str" cm="1">
        <f t="array" ref="I18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87" s="5">
        <f>_xlfn.XLOOKUP(tbl_raw[[#This Row],[Kategori]], tbl_target[Kategori], tbl_target[Target_Margin], 0)</f>
        <v>0.25</v>
      </c>
      <c r="K187" t="s">
        <v>48</v>
      </c>
      <c r="L187" t="s">
        <v>15</v>
      </c>
      <c r="M187">
        <v>10009793</v>
      </c>
    </row>
    <row r="188" spans="1:13" x14ac:dyDescent="0.3">
      <c r="A188" t="s">
        <v>161</v>
      </c>
      <c r="B188" t="s">
        <v>160</v>
      </c>
      <c r="C188" t="s">
        <v>20</v>
      </c>
      <c r="D188" t="s">
        <v>30</v>
      </c>
      <c r="E188">
        <v>8200000</v>
      </c>
      <c r="F188">
        <v>4833910</v>
      </c>
      <c r="G188">
        <v>3366090</v>
      </c>
      <c r="H188" s="5">
        <f>IFERROR((tbl_raw[[#This Row],[Revenue]]-tbl_raw[[#This Row],[COGS]]) / tbl_raw[[#This Row],[Revenue]], 0)</f>
        <v>0.41049878048780486</v>
      </c>
      <c r="I188" s="5" t="str" cm="1">
        <f t="array" ref="I18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88" s="5">
        <f>_xlfn.XLOOKUP(tbl_raw[[#This Row],[Kategori]], tbl_target[Kategori], tbl_target[Target_Margin], 0)</f>
        <v>0.4</v>
      </c>
      <c r="K188" t="s">
        <v>22</v>
      </c>
      <c r="L188" t="s">
        <v>34</v>
      </c>
      <c r="M188">
        <v>10292995</v>
      </c>
    </row>
    <row r="189" spans="1:13" x14ac:dyDescent="0.3">
      <c r="A189" t="s">
        <v>162</v>
      </c>
      <c r="B189" t="s">
        <v>160</v>
      </c>
      <c r="C189" t="s">
        <v>23</v>
      </c>
      <c r="D189" t="s">
        <v>24</v>
      </c>
      <c r="E189">
        <v>5200000</v>
      </c>
      <c r="F189">
        <v>2139340</v>
      </c>
      <c r="G189">
        <v>3060660</v>
      </c>
      <c r="H189" s="5">
        <f>IFERROR((tbl_raw[[#This Row],[Revenue]]-tbl_raw[[#This Row],[COGS]]) / tbl_raw[[#This Row],[Revenue]], 0)</f>
        <v>0.58858846153846156</v>
      </c>
      <c r="I189" s="5" t="str" cm="1">
        <f t="array" ref="I18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89" s="5">
        <f>_xlfn.XLOOKUP(tbl_raw[[#This Row],[Kategori]], tbl_target[Kategori], tbl_target[Target_Margin], 0)</f>
        <v>0.35</v>
      </c>
      <c r="K189" t="s">
        <v>48</v>
      </c>
      <c r="L189" t="s">
        <v>28</v>
      </c>
      <c r="M189">
        <v>4182740</v>
      </c>
    </row>
    <row r="190" spans="1:13" x14ac:dyDescent="0.3">
      <c r="A190" t="s">
        <v>163</v>
      </c>
      <c r="B190" t="s">
        <v>160</v>
      </c>
      <c r="C190" t="s">
        <v>12</v>
      </c>
      <c r="D190" t="s">
        <v>17</v>
      </c>
      <c r="E190">
        <v>18200000</v>
      </c>
      <c r="F190">
        <v>7309362</v>
      </c>
      <c r="G190">
        <v>10890638</v>
      </c>
      <c r="H190" s="5">
        <f>IFERROR((tbl_raw[[#This Row],[Revenue]]-tbl_raw[[#This Row],[COGS]]) / tbl_raw[[#This Row],[Revenue]], 0)</f>
        <v>0.59838670329670329</v>
      </c>
      <c r="I190" s="5" t="str" cm="1">
        <f t="array" ref="I19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90" s="5">
        <f>_xlfn.XLOOKUP(tbl_raw[[#This Row],[Kategori]], tbl_target[Kategori], tbl_target[Target_Margin], 0)</f>
        <v>0.25</v>
      </c>
      <c r="K190" t="s">
        <v>48</v>
      </c>
      <c r="L190" t="s">
        <v>28</v>
      </c>
      <c r="M190">
        <v>19723275</v>
      </c>
    </row>
    <row r="191" spans="1:13" x14ac:dyDescent="0.3">
      <c r="A191" t="s">
        <v>164</v>
      </c>
      <c r="B191" t="s">
        <v>160</v>
      </c>
      <c r="C191" t="s">
        <v>23</v>
      </c>
      <c r="D191" t="s">
        <v>24</v>
      </c>
      <c r="E191">
        <v>13100000</v>
      </c>
      <c r="F191">
        <v>6971384</v>
      </c>
      <c r="G191">
        <v>6128616</v>
      </c>
      <c r="H191" s="5">
        <f>IFERROR((tbl_raw[[#This Row],[Revenue]]-tbl_raw[[#This Row],[COGS]]) / tbl_raw[[#This Row],[Revenue]], 0)</f>
        <v>0.46783328244274808</v>
      </c>
      <c r="I191" s="5" t="str" cm="1">
        <f t="array" ref="I19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91" s="5">
        <f>_xlfn.XLOOKUP(tbl_raw[[#This Row],[Kategori]], tbl_target[Kategori], tbl_target[Target_Margin], 0)</f>
        <v>0.35</v>
      </c>
      <c r="K191" t="s">
        <v>22</v>
      </c>
      <c r="L191" t="s">
        <v>34</v>
      </c>
      <c r="M191">
        <v>12653225</v>
      </c>
    </row>
    <row r="192" spans="1:13" x14ac:dyDescent="0.3">
      <c r="A192" t="s">
        <v>164</v>
      </c>
      <c r="B192" t="s">
        <v>160</v>
      </c>
      <c r="C192" t="s">
        <v>12</v>
      </c>
      <c r="D192" t="s">
        <v>32</v>
      </c>
      <c r="E192">
        <v>12300000</v>
      </c>
      <c r="F192">
        <v>5291610</v>
      </c>
      <c r="G192">
        <v>7008390</v>
      </c>
      <c r="H192" s="5">
        <f>IFERROR((tbl_raw[[#This Row],[Revenue]]-tbl_raw[[#This Row],[COGS]]) / tbl_raw[[#This Row],[Revenue]], 0)</f>
        <v>0.56978780487804881</v>
      </c>
      <c r="I192" s="5" t="str" cm="1">
        <f t="array" ref="I19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92" s="5">
        <f>_xlfn.XLOOKUP(tbl_raw[[#This Row],[Kategori]], tbl_target[Kategori], tbl_target[Target_Margin], 0)</f>
        <v>0.25</v>
      </c>
      <c r="K192" t="s">
        <v>18</v>
      </c>
      <c r="L192" t="s">
        <v>28</v>
      </c>
      <c r="M192">
        <v>14432983</v>
      </c>
    </row>
    <row r="193" spans="1:13" x14ac:dyDescent="0.3">
      <c r="A193" t="s">
        <v>165</v>
      </c>
      <c r="B193" t="s">
        <v>160</v>
      </c>
      <c r="C193" t="s">
        <v>20</v>
      </c>
      <c r="D193" t="s">
        <v>30</v>
      </c>
      <c r="E193">
        <v>2500000</v>
      </c>
      <c r="F193">
        <v>984906</v>
      </c>
      <c r="G193">
        <v>1515094</v>
      </c>
      <c r="H193" s="5">
        <f>IFERROR((tbl_raw[[#This Row],[Revenue]]-tbl_raw[[#This Row],[COGS]]) / tbl_raw[[#This Row],[Revenue]], 0)</f>
        <v>0.60603759999999995</v>
      </c>
      <c r="I193" s="5" t="str" cm="1">
        <f t="array" ref="I19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93" s="5">
        <f>_xlfn.XLOOKUP(tbl_raw[[#This Row],[Kategori]], tbl_target[Kategori], tbl_target[Target_Margin], 0)</f>
        <v>0.4</v>
      </c>
      <c r="K193" t="s">
        <v>48</v>
      </c>
      <c r="L193" t="s">
        <v>25</v>
      </c>
      <c r="M193">
        <v>2247150</v>
      </c>
    </row>
    <row r="194" spans="1:13" x14ac:dyDescent="0.3">
      <c r="A194" t="s">
        <v>165</v>
      </c>
      <c r="B194" t="s">
        <v>160</v>
      </c>
      <c r="C194" t="s">
        <v>20</v>
      </c>
      <c r="D194" t="s">
        <v>30</v>
      </c>
      <c r="E194">
        <v>4000000</v>
      </c>
      <c r="F194">
        <v>2331410</v>
      </c>
      <c r="G194">
        <v>1668590</v>
      </c>
      <c r="H194" s="5">
        <f>IFERROR((tbl_raw[[#This Row],[Revenue]]-tbl_raw[[#This Row],[COGS]]) / tbl_raw[[#This Row],[Revenue]], 0)</f>
        <v>0.4171475</v>
      </c>
      <c r="I194" s="5" t="str" cm="1">
        <f t="array" ref="I19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94" s="5">
        <f>_xlfn.XLOOKUP(tbl_raw[[#This Row],[Kategori]], tbl_target[Kategori], tbl_target[Target_Margin], 0)</f>
        <v>0.4</v>
      </c>
      <c r="K194" t="s">
        <v>22</v>
      </c>
      <c r="L194" t="s">
        <v>19</v>
      </c>
      <c r="M194">
        <v>4405812</v>
      </c>
    </row>
    <row r="195" spans="1:13" x14ac:dyDescent="0.3">
      <c r="A195" t="s">
        <v>165</v>
      </c>
      <c r="B195" t="s">
        <v>160</v>
      </c>
      <c r="C195" t="s">
        <v>23</v>
      </c>
      <c r="D195" t="s">
        <v>24</v>
      </c>
      <c r="E195">
        <v>14100000</v>
      </c>
      <c r="F195">
        <v>6325068</v>
      </c>
      <c r="G195">
        <v>7774932</v>
      </c>
      <c r="H195" s="5">
        <f>IFERROR((tbl_raw[[#This Row],[Revenue]]-tbl_raw[[#This Row],[COGS]]) / tbl_raw[[#This Row],[Revenue]], 0)</f>
        <v>0.55141361702127656</v>
      </c>
      <c r="I195" s="5" t="str" cm="1">
        <f t="array" ref="I19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95" s="5">
        <f>_xlfn.XLOOKUP(tbl_raw[[#This Row],[Kategori]], tbl_target[Kategori], tbl_target[Target_Margin], 0)</f>
        <v>0.35</v>
      </c>
      <c r="K195" t="s">
        <v>22</v>
      </c>
      <c r="L195" t="s">
        <v>25</v>
      </c>
      <c r="M195">
        <v>11709211</v>
      </c>
    </row>
    <row r="196" spans="1:13" x14ac:dyDescent="0.3">
      <c r="A196" t="s">
        <v>166</v>
      </c>
      <c r="B196" t="s">
        <v>160</v>
      </c>
      <c r="C196" t="s">
        <v>12</v>
      </c>
      <c r="D196" t="s">
        <v>17</v>
      </c>
      <c r="E196">
        <v>18900000</v>
      </c>
      <c r="F196">
        <v>9807923</v>
      </c>
      <c r="G196">
        <v>9092077</v>
      </c>
      <c r="H196" s="5">
        <f>IFERROR((tbl_raw[[#This Row],[Revenue]]-tbl_raw[[#This Row],[COGS]]) / tbl_raw[[#This Row],[Revenue]], 0)</f>
        <v>0.48106227513227512</v>
      </c>
      <c r="I196" s="5" t="str" cm="1">
        <f t="array" ref="I19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96" s="5">
        <f>_xlfn.XLOOKUP(tbl_raw[[#This Row],[Kategori]], tbl_target[Kategori], tbl_target[Target_Margin], 0)</f>
        <v>0.25</v>
      </c>
      <c r="K196" t="s">
        <v>48</v>
      </c>
      <c r="L196" t="s">
        <v>28</v>
      </c>
      <c r="M196">
        <v>18332345</v>
      </c>
    </row>
    <row r="197" spans="1:13" x14ac:dyDescent="0.3">
      <c r="A197" t="s">
        <v>166</v>
      </c>
      <c r="B197" t="s">
        <v>160</v>
      </c>
      <c r="C197" t="s">
        <v>23</v>
      </c>
      <c r="D197" t="s">
        <v>27</v>
      </c>
      <c r="E197">
        <v>4600000</v>
      </c>
      <c r="F197">
        <v>2344921</v>
      </c>
      <c r="G197">
        <v>2255079</v>
      </c>
      <c r="H197" s="5">
        <f>IFERROR((tbl_raw[[#This Row],[Revenue]]-tbl_raw[[#This Row],[COGS]]) / tbl_raw[[#This Row],[Revenue]], 0)</f>
        <v>0.49023456521739128</v>
      </c>
      <c r="I197" s="5" t="str" cm="1">
        <f t="array" ref="I19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97" s="5">
        <f>_xlfn.XLOOKUP(tbl_raw[[#This Row],[Kategori]], tbl_target[Kategori], tbl_target[Target_Margin], 0)</f>
        <v>0.35</v>
      </c>
      <c r="K197" t="s">
        <v>14</v>
      </c>
      <c r="L197" t="s">
        <v>15</v>
      </c>
      <c r="M197">
        <v>5699817</v>
      </c>
    </row>
    <row r="198" spans="1:13" x14ac:dyDescent="0.3">
      <c r="A198" t="s">
        <v>167</v>
      </c>
      <c r="B198" t="s">
        <v>160</v>
      </c>
      <c r="C198" t="s">
        <v>12</v>
      </c>
      <c r="D198" t="s">
        <v>13</v>
      </c>
      <c r="E198">
        <v>1800000</v>
      </c>
      <c r="F198">
        <v>1000685</v>
      </c>
      <c r="G198">
        <v>799315</v>
      </c>
      <c r="H198" s="5">
        <f>IFERROR((tbl_raw[[#This Row],[Revenue]]-tbl_raw[[#This Row],[COGS]]) / tbl_raw[[#This Row],[Revenue]], 0)</f>
        <v>0.44406388888888887</v>
      </c>
      <c r="I198" s="5" t="str" cm="1">
        <f t="array" ref="I19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98" s="5">
        <f>_xlfn.XLOOKUP(tbl_raw[[#This Row],[Kategori]], tbl_target[Kategori], tbl_target[Target_Margin], 0)</f>
        <v>0.25</v>
      </c>
      <c r="K198" t="s">
        <v>36</v>
      </c>
      <c r="L198" t="s">
        <v>15</v>
      </c>
      <c r="M198">
        <v>2055748</v>
      </c>
    </row>
    <row r="199" spans="1:13" x14ac:dyDescent="0.3">
      <c r="A199" t="s">
        <v>168</v>
      </c>
      <c r="B199" t="s">
        <v>160</v>
      </c>
      <c r="C199" t="s">
        <v>12</v>
      </c>
      <c r="D199" t="s">
        <v>13</v>
      </c>
      <c r="E199">
        <v>2600000</v>
      </c>
      <c r="F199">
        <v>1104711</v>
      </c>
      <c r="G199">
        <v>1495289</v>
      </c>
      <c r="H199" s="5">
        <f>IFERROR((tbl_raw[[#This Row],[Revenue]]-tbl_raw[[#This Row],[COGS]]) / tbl_raw[[#This Row],[Revenue]], 0)</f>
        <v>0.57511115384615386</v>
      </c>
      <c r="I199" s="5" t="str" cm="1">
        <f t="array" ref="I19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199" s="5">
        <f>_xlfn.XLOOKUP(tbl_raw[[#This Row],[Kategori]], tbl_target[Kategori], tbl_target[Target_Margin], 0)</f>
        <v>0.25</v>
      </c>
      <c r="K199" t="s">
        <v>22</v>
      </c>
      <c r="L199" t="s">
        <v>15</v>
      </c>
      <c r="M199">
        <v>2604198</v>
      </c>
    </row>
    <row r="200" spans="1:13" x14ac:dyDescent="0.3">
      <c r="A200" t="s">
        <v>169</v>
      </c>
      <c r="B200" t="s">
        <v>160</v>
      </c>
      <c r="C200" t="s">
        <v>20</v>
      </c>
      <c r="D200" t="s">
        <v>30</v>
      </c>
      <c r="E200">
        <v>17600000</v>
      </c>
      <c r="F200">
        <v>6532270</v>
      </c>
      <c r="G200">
        <v>11067730</v>
      </c>
      <c r="H200" s="5">
        <f>IFERROR((tbl_raw[[#This Row],[Revenue]]-tbl_raw[[#This Row],[COGS]]) / tbl_raw[[#This Row],[Revenue]], 0)</f>
        <v>0.62884829545454546</v>
      </c>
      <c r="I200" s="5" t="str" cm="1">
        <f t="array" ref="I20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00" s="5">
        <f>_xlfn.XLOOKUP(tbl_raw[[#This Row],[Kategori]], tbl_target[Kategori], tbl_target[Target_Margin], 0)</f>
        <v>0.4</v>
      </c>
      <c r="K200" t="s">
        <v>36</v>
      </c>
      <c r="L200" t="s">
        <v>28</v>
      </c>
      <c r="M200">
        <v>17399985</v>
      </c>
    </row>
    <row r="201" spans="1:13" x14ac:dyDescent="0.3">
      <c r="A201" t="s">
        <v>170</v>
      </c>
      <c r="B201" t="s">
        <v>160</v>
      </c>
      <c r="C201" t="s">
        <v>20</v>
      </c>
      <c r="D201" t="s">
        <v>30</v>
      </c>
      <c r="E201">
        <v>16100000</v>
      </c>
      <c r="F201">
        <v>9337996</v>
      </c>
      <c r="G201">
        <v>6762004</v>
      </c>
      <c r="H201" s="5">
        <f>IFERROR((tbl_raw[[#This Row],[Revenue]]-tbl_raw[[#This Row],[COGS]]) / tbl_raw[[#This Row],[Revenue]], 0)</f>
        <v>0.42000024844720496</v>
      </c>
      <c r="I201" s="5" t="str" cm="1">
        <f t="array" ref="I20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01" s="5">
        <f>_xlfn.XLOOKUP(tbl_raw[[#This Row],[Kategori]], tbl_target[Kategori], tbl_target[Target_Margin], 0)</f>
        <v>0.4</v>
      </c>
      <c r="K201" t="s">
        <v>14</v>
      </c>
      <c r="L201" t="s">
        <v>34</v>
      </c>
      <c r="M201">
        <v>20429437</v>
      </c>
    </row>
    <row r="202" spans="1:13" x14ac:dyDescent="0.3">
      <c r="A202" t="s">
        <v>170</v>
      </c>
      <c r="B202" t="s">
        <v>160</v>
      </c>
      <c r="C202" t="s">
        <v>20</v>
      </c>
      <c r="D202" t="s">
        <v>40</v>
      </c>
      <c r="E202">
        <v>10000000</v>
      </c>
      <c r="F202">
        <v>4476940</v>
      </c>
      <c r="G202">
        <v>5523060</v>
      </c>
      <c r="H202" s="5">
        <f>IFERROR((tbl_raw[[#This Row],[Revenue]]-tbl_raw[[#This Row],[COGS]]) / tbl_raw[[#This Row],[Revenue]], 0)</f>
        <v>0.55230599999999996</v>
      </c>
      <c r="I202" s="5" t="str" cm="1">
        <f t="array" ref="I20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02" s="5">
        <f>_xlfn.XLOOKUP(tbl_raw[[#This Row],[Kategori]], tbl_target[Kategori], tbl_target[Target_Margin], 0)</f>
        <v>0.4</v>
      </c>
      <c r="K202" t="s">
        <v>48</v>
      </c>
      <c r="L202" t="s">
        <v>15</v>
      </c>
      <c r="M202">
        <v>11032182</v>
      </c>
    </row>
    <row r="203" spans="1:13" x14ac:dyDescent="0.3">
      <c r="A203" t="s">
        <v>170</v>
      </c>
      <c r="B203" t="s">
        <v>160</v>
      </c>
      <c r="C203" t="s">
        <v>23</v>
      </c>
      <c r="D203" t="s">
        <v>24</v>
      </c>
      <c r="E203">
        <v>5700000</v>
      </c>
      <c r="F203">
        <v>2509883</v>
      </c>
      <c r="G203">
        <v>3190117</v>
      </c>
      <c r="H203" s="5">
        <f>IFERROR((tbl_raw[[#This Row],[Revenue]]-tbl_raw[[#This Row],[COGS]]) / tbl_raw[[#This Row],[Revenue]], 0)</f>
        <v>0.55966964912280703</v>
      </c>
      <c r="I203" s="5" t="str" cm="1">
        <f t="array" ref="I20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03" s="5">
        <f>_xlfn.XLOOKUP(tbl_raw[[#This Row],[Kategori]], tbl_target[Kategori], tbl_target[Target_Margin], 0)</f>
        <v>0.35</v>
      </c>
      <c r="K203" t="s">
        <v>14</v>
      </c>
      <c r="L203" t="s">
        <v>31</v>
      </c>
      <c r="M203">
        <v>5693816</v>
      </c>
    </row>
    <row r="204" spans="1:13" x14ac:dyDescent="0.3">
      <c r="A204" t="s">
        <v>171</v>
      </c>
      <c r="B204" t="s">
        <v>160</v>
      </c>
      <c r="C204" t="s">
        <v>20</v>
      </c>
      <c r="D204" t="s">
        <v>21</v>
      </c>
      <c r="E204">
        <v>15500000</v>
      </c>
      <c r="F204">
        <v>6645911</v>
      </c>
      <c r="G204">
        <v>8854089</v>
      </c>
      <c r="H204" s="5">
        <f>IFERROR((tbl_raw[[#This Row],[Revenue]]-tbl_raw[[#This Row],[COGS]]) / tbl_raw[[#This Row],[Revenue]], 0)</f>
        <v>0.57123154838709678</v>
      </c>
      <c r="I204" s="5" t="str" cm="1">
        <f t="array" ref="I20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04" s="5">
        <f>_xlfn.XLOOKUP(tbl_raw[[#This Row],[Kategori]], tbl_target[Kategori], tbl_target[Target_Margin], 0)</f>
        <v>0.4</v>
      </c>
      <c r="K204" t="s">
        <v>36</v>
      </c>
      <c r="L204" t="s">
        <v>25</v>
      </c>
      <c r="M204">
        <v>17893804</v>
      </c>
    </row>
    <row r="205" spans="1:13" x14ac:dyDescent="0.3">
      <c r="A205" t="s">
        <v>172</v>
      </c>
      <c r="B205" t="s">
        <v>160</v>
      </c>
      <c r="C205" t="s">
        <v>23</v>
      </c>
      <c r="D205" t="s">
        <v>58</v>
      </c>
      <c r="E205">
        <v>10500000</v>
      </c>
      <c r="F205">
        <v>4090580</v>
      </c>
      <c r="G205">
        <v>6409420</v>
      </c>
      <c r="H205" s="5">
        <f>IFERROR((tbl_raw[[#This Row],[Revenue]]-tbl_raw[[#This Row],[COGS]]) / tbl_raw[[#This Row],[Revenue]], 0)</f>
        <v>0.6104209523809524</v>
      </c>
      <c r="I205" s="5" t="str" cm="1">
        <f t="array" ref="I20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05" s="5">
        <f>_xlfn.XLOOKUP(tbl_raw[[#This Row],[Kategori]], tbl_target[Kategori], tbl_target[Target_Margin], 0)</f>
        <v>0.35</v>
      </c>
      <c r="K205" t="s">
        <v>14</v>
      </c>
      <c r="L205" t="s">
        <v>28</v>
      </c>
      <c r="M205">
        <v>12756335</v>
      </c>
    </row>
    <row r="206" spans="1:13" x14ac:dyDescent="0.3">
      <c r="A206" t="s">
        <v>172</v>
      </c>
      <c r="B206" t="s">
        <v>160</v>
      </c>
      <c r="C206" t="s">
        <v>20</v>
      </c>
      <c r="D206" t="s">
        <v>40</v>
      </c>
      <c r="E206">
        <v>19100000</v>
      </c>
      <c r="F206">
        <v>7707276</v>
      </c>
      <c r="G206">
        <v>11392724</v>
      </c>
      <c r="H206" s="5">
        <f>IFERROR((tbl_raw[[#This Row],[Revenue]]-tbl_raw[[#This Row],[COGS]]) / tbl_raw[[#This Row],[Revenue]], 0)</f>
        <v>0.59647769633507852</v>
      </c>
      <c r="I206" s="5" t="str" cm="1">
        <f t="array" ref="I20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06" s="5">
        <f>_xlfn.XLOOKUP(tbl_raw[[#This Row],[Kategori]], tbl_target[Kategori], tbl_target[Target_Margin], 0)</f>
        <v>0.4</v>
      </c>
      <c r="K206" t="s">
        <v>48</v>
      </c>
      <c r="L206" t="s">
        <v>34</v>
      </c>
      <c r="M206">
        <v>18083996</v>
      </c>
    </row>
    <row r="207" spans="1:13" x14ac:dyDescent="0.3">
      <c r="A207" t="s">
        <v>173</v>
      </c>
      <c r="B207" t="s">
        <v>160</v>
      </c>
      <c r="C207" t="s">
        <v>20</v>
      </c>
      <c r="D207" t="s">
        <v>40</v>
      </c>
      <c r="E207">
        <v>9500000</v>
      </c>
      <c r="F207">
        <v>4573239</v>
      </c>
      <c r="G207">
        <v>4926761</v>
      </c>
      <c r="H207" s="5">
        <f>IFERROR((tbl_raw[[#This Row],[Revenue]]-tbl_raw[[#This Row],[COGS]]) / tbl_raw[[#This Row],[Revenue]], 0)</f>
        <v>0.51860642105263155</v>
      </c>
      <c r="I207" s="5" t="str" cm="1">
        <f t="array" ref="I20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07" s="5">
        <f>_xlfn.XLOOKUP(tbl_raw[[#This Row],[Kategori]], tbl_target[Kategori], tbl_target[Target_Margin], 0)</f>
        <v>0.4</v>
      </c>
      <c r="K207" t="s">
        <v>14</v>
      </c>
      <c r="L207" t="s">
        <v>49</v>
      </c>
      <c r="M207">
        <v>11304704</v>
      </c>
    </row>
    <row r="208" spans="1:13" x14ac:dyDescent="0.3">
      <c r="A208" t="s">
        <v>173</v>
      </c>
      <c r="B208" t="s">
        <v>160</v>
      </c>
      <c r="C208" t="s">
        <v>12</v>
      </c>
      <c r="D208" t="s">
        <v>32</v>
      </c>
      <c r="E208">
        <v>6800000</v>
      </c>
      <c r="F208">
        <v>2389677</v>
      </c>
      <c r="G208">
        <v>4410323</v>
      </c>
      <c r="H208" s="5">
        <f>IFERROR((tbl_raw[[#This Row],[Revenue]]-tbl_raw[[#This Row],[COGS]]) / tbl_raw[[#This Row],[Revenue]], 0)</f>
        <v>0.64857691176470589</v>
      </c>
      <c r="I208" s="5" t="str" cm="1">
        <f t="array" ref="I20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08" s="5">
        <f>_xlfn.XLOOKUP(tbl_raw[[#This Row],[Kategori]], tbl_target[Kategori], tbl_target[Target_Margin], 0)</f>
        <v>0.25</v>
      </c>
      <c r="K208" t="s">
        <v>48</v>
      </c>
      <c r="L208" t="s">
        <v>34</v>
      </c>
      <c r="M208">
        <v>8077516</v>
      </c>
    </row>
    <row r="209" spans="1:13" x14ac:dyDescent="0.3">
      <c r="A209" t="s">
        <v>173</v>
      </c>
      <c r="B209" t="s">
        <v>160</v>
      </c>
      <c r="C209" t="s">
        <v>23</v>
      </c>
      <c r="D209" t="s">
        <v>27</v>
      </c>
      <c r="E209">
        <v>11600000</v>
      </c>
      <c r="F209">
        <v>6307708</v>
      </c>
      <c r="G209">
        <v>5292292</v>
      </c>
      <c r="H209" s="5">
        <f>IFERROR((tbl_raw[[#This Row],[Revenue]]-tbl_raw[[#This Row],[COGS]]) / tbl_raw[[#This Row],[Revenue]], 0)</f>
        <v>0.45623206896551727</v>
      </c>
      <c r="I209" s="5" t="str" cm="1">
        <f t="array" ref="I20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09" s="5">
        <f>_xlfn.XLOOKUP(tbl_raw[[#This Row],[Kategori]], tbl_target[Kategori], tbl_target[Target_Margin], 0)</f>
        <v>0.35</v>
      </c>
      <c r="K209" t="s">
        <v>36</v>
      </c>
      <c r="L209" t="s">
        <v>15</v>
      </c>
      <c r="M209">
        <v>13632015</v>
      </c>
    </row>
    <row r="210" spans="1:13" x14ac:dyDescent="0.3">
      <c r="A210" t="s">
        <v>174</v>
      </c>
      <c r="B210" t="s">
        <v>160</v>
      </c>
      <c r="C210" t="s">
        <v>12</v>
      </c>
      <c r="D210" t="s">
        <v>32</v>
      </c>
      <c r="E210">
        <v>10400000</v>
      </c>
      <c r="F210">
        <v>3733556</v>
      </c>
      <c r="G210">
        <v>6666444</v>
      </c>
      <c r="H210" s="5">
        <f>IFERROR((tbl_raw[[#This Row],[Revenue]]-tbl_raw[[#This Row],[COGS]]) / tbl_raw[[#This Row],[Revenue]], 0)</f>
        <v>0.64100423076923074</v>
      </c>
      <c r="I210" s="5" t="str" cm="1">
        <f t="array" ref="I21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10" s="5">
        <f>_xlfn.XLOOKUP(tbl_raw[[#This Row],[Kategori]], tbl_target[Kategori], tbl_target[Target_Margin], 0)</f>
        <v>0.25</v>
      </c>
      <c r="K210" t="s">
        <v>36</v>
      </c>
      <c r="L210" t="s">
        <v>19</v>
      </c>
      <c r="M210">
        <v>11813900</v>
      </c>
    </row>
    <row r="211" spans="1:13" x14ac:dyDescent="0.3">
      <c r="A211" t="s">
        <v>175</v>
      </c>
      <c r="B211" t="s">
        <v>160</v>
      </c>
      <c r="C211" t="s">
        <v>23</v>
      </c>
      <c r="D211" t="s">
        <v>24</v>
      </c>
      <c r="E211">
        <v>13200000</v>
      </c>
      <c r="F211">
        <v>5282600</v>
      </c>
      <c r="G211">
        <v>7917400</v>
      </c>
      <c r="H211" s="5">
        <f>IFERROR((tbl_raw[[#This Row],[Revenue]]-tbl_raw[[#This Row],[COGS]]) / tbl_raw[[#This Row],[Revenue]], 0)</f>
        <v>0.59980303030303028</v>
      </c>
      <c r="I211" s="5" t="str" cm="1">
        <f t="array" ref="I21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11" s="5">
        <f>_xlfn.XLOOKUP(tbl_raw[[#This Row],[Kategori]], tbl_target[Kategori], tbl_target[Target_Margin], 0)</f>
        <v>0.35</v>
      </c>
      <c r="K211" t="s">
        <v>22</v>
      </c>
      <c r="L211" t="s">
        <v>41</v>
      </c>
      <c r="M211">
        <v>13980288</v>
      </c>
    </row>
    <row r="212" spans="1:13" x14ac:dyDescent="0.3">
      <c r="A212" t="s">
        <v>176</v>
      </c>
      <c r="B212" t="s">
        <v>160</v>
      </c>
      <c r="C212" t="s">
        <v>12</v>
      </c>
      <c r="D212" t="s">
        <v>17</v>
      </c>
      <c r="E212">
        <v>2700000</v>
      </c>
      <c r="F212">
        <v>1577638</v>
      </c>
      <c r="G212">
        <v>1122362</v>
      </c>
      <c r="H212" s="5">
        <f>IFERROR((tbl_raw[[#This Row],[Revenue]]-tbl_raw[[#This Row],[COGS]]) / tbl_raw[[#This Row],[Revenue]], 0)</f>
        <v>0.41568962962962963</v>
      </c>
      <c r="I212" s="5" t="str" cm="1">
        <f t="array" ref="I21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12" s="5">
        <f>_xlfn.XLOOKUP(tbl_raw[[#This Row],[Kategori]], tbl_target[Kategori], tbl_target[Target_Margin], 0)</f>
        <v>0.25</v>
      </c>
      <c r="K212" t="s">
        <v>18</v>
      </c>
      <c r="L212" t="s">
        <v>19</v>
      </c>
      <c r="M212">
        <v>3448160</v>
      </c>
    </row>
    <row r="213" spans="1:13" x14ac:dyDescent="0.3">
      <c r="A213" t="s">
        <v>177</v>
      </c>
      <c r="B213" t="s">
        <v>160</v>
      </c>
      <c r="C213" t="s">
        <v>20</v>
      </c>
      <c r="D213" t="s">
        <v>40</v>
      </c>
      <c r="E213">
        <v>900000</v>
      </c>
      <c r="F213">
        <v>529756</v>
      </c>
      <c r="G213">
        <v>370244</v>
      </c>
      <c r="H213" s="5">
        <f>IFERROR((tbl_raw[[#This Row],[Revenue]]-tbl_raw[[#This Row],[COGS]]) / tbl_raw[[#This Row],[Revenue]], 0)</f>
        <v>0.4113822222222222</v>
      </c>
      <c r="I213" s="5" t="str" cm="1">
        <f t="array" ref="I21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13" s="5">
        <f>_xlfn.XLOOKUP(tbl_raw[[#This Row],[Kategori]], tbl_target[Kategori], tbl_target[Target_Margin], 0)</f>
        <v>0.4</v>
      </c>
      <c r="K213" t="s">
        <v>14</v>
      </c>
      <c r="L213" t="s">
        <v>28</v>
      </c>
      <c r="M213">
        <v>761029</v>
      </c>
    </row>
    <row r="214" spans="1:13" x14ac:dyDescent="0.3">
      <c r="A214" t="s">
        <v>178</v>
      </c>
      <c r="B214" t="s">
        <v>160</v>
      </c>
      <c r="C214" t="s">
        <v>20</v>
      </c>
      <c r="D214" t="s">
        <v>40</v>
      </c>
      <c r="E214">
        <v>7400000</v>
      </c>
      <c r="F214">
        <v>3347026</v>
      </c>
      <c r="G214">
        <v>4052974</v>
      </c>
      <c r="H214" s="5">
        <f>IFERROR((tbl_raw[[#This Row],[Revenue]]-tbl_raw[[#This Row],[COGS]]) / tbl_raw[[#This Row],[Revenue]], 0)</f>
        <v>0.54769918918918914</v>
      </c>
      <c r="I214" s="5" t="str" cm="1">
        <f t="array" ref="I21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14" s="5">
        <f>_xlfn.XLOOKUP(tbl_raw[[#This Row],[Kategori]], tbl_target[Kategori], tbl_target[Target_Margin], 0)</f>
        <v>0.4</v>
      </c>
      <c r="K214" t="s">
        <v>36</v>
      </c>
      <c r="L214" t="s">
        <v>34</v>
      </c>
      <c r="M214">
        <v>5957841</v>
      </c>
    </row>
    <row r="215" spans="1:13" x14ac:dyDescent="0.3">
      <c r="A215" t="s">
        <v>178</v>
      </c>
      <c r="B215" t="s">
        <v>160</v>
      </c>
      <c r="C215" t="s">
        <v>23</v>
      </c>
      <c r="D215" t="s">
        <v>24</v>
      </c>
      <c r="E215">
        <v>19500000</v>
      </c>
      <c r="F215">
        <v>11468071</v>
      </c>
      <c r="G215">
        <v>8031929</v>
      </c>
      <c r="H215" s="5">
        <f>IFERROR((tbl_raw[[#This Row],[Revenue]]-tbl_raw[[#This Row],[COGS]]) / tbl_raw[[#This Row],[Revenue]], 0)</f>
        <v>0.41189379487179489</v>
      </c>
      <c r="I215" s="5" t="str" cm="1">
        <f t="array" ref="I21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15" s="5">
        <f>_xlfn.XLOOKUP(tbl_raw[[#This Row],[Kategori]], tbl_target[Kategori], tbl_target[Target_Margin], 0)</f>
        <v>0.35</v>
      </c>
      <c r="K215" t="s">
        <v>36</v>
      </c>
      <c r="L215" t="s">
        <v>15</v>
      </c>
      <c r="M215">
        <v>23329434</v>
      </c>
    </row>
    <row r="216" spans="1:13" x14ac:dyDescent="0.3">
      <c r="A216" t="s">
        <v>178</v>
      </c>
      <c r="B216" t="s">
        <v>160</v>
      </c>
      <c r="C216" t="s">
        <v>12</v>
      </c>
      <c r="D216" t="s">
        <v>13</v>
      </c>
      <c r="E216">
        <v>13800000</v>
      </c>
      <c r="F216">
        <v>5428283</v>
      </c>
      <c r="G216">
        <v>8371717</v>
      </c>
      <c r="H216" s="5">
        <f>IFERROR((tbl_raw[[#This Row],[Revenue]]-tbl_raw[[#This Row],[COGS]]) / tbl_raw[[#This Row],[Revenue]], 0)</f>
        <v>0.60664615942028988</v>
      </c>
      <c r="I216" s="5" t="str" cm="1">
        <f t="array" ref="I21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16" s="5">
        <f>_xlfn.XLOOKUP(tbl_raw[[#This Row],[Kategori]], tbl_target[Kategori], tbl_target[Target_Margin], 0)</f>
        <v>0.25</v>
      </c>
      <c r="K216" t="s">
        <v>18</v>
      </c>
      <c r="L216" t="s">
        <v>25</v>
      </c>
      <c r="M216">
        <v>16039689</v>
      </c>
    </row>
    <row r="217" spans="1:13" x14ac:dyDescent="0.3">
      <c r="A217" t="s">
        <v>178</v>
      </c>
      <c r="B217" t="s">
        <v>160</v>
      </c>
      <c r="C217" t="s">
        <v>23</v>
      </c>
      <c r="D217" t="s">
        <v>24</v>
      </c>
      <c r="E217">
        <v>15000000</v>
      </c>
      <c r="F217">
        <v>5474549</v>
      </c>
      <c r="G217">
        <v>9525451</v>
      </c>
      <c r="H217" s="5">
        <f>IFERROR((tbl_raw[[#This Row],[Revenue]]-tbl_raw[[#This Row],[COGS]]) / tbl_raw[[#This Row],[Revenue]], 0)</f>
        <v>0.63503006666666661</v>
      </c>
      <c r="I217" s="5" t="str" cm="1">
        <f t="array" ref="I21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17" s="5">
        <f>_xlfn.XLOOKUP(tbl_raw[[#This Row],[Kategori]], tbl_target[Kategori], tbl_target[Target_Margin], 0)</f>
        <v>0.35</v>
      </c>
      <c r="K217" t="s">
        <v>14</v>
      </c>
      <c r="L217" t="s">
        <v>28</v>
      </c>
      <c r="M217">
        <v>12835740</v>
      </c>
    </row>
    <row r="218" spans="1:13" x14ac:dyDescent="0.3">
      <c r="A218" t="s">
        <v>179</v>
      </c>
      <c r="B218" t="s">
        <v>160</v>
      </c>
      <c r="C218" t="s">
        <v>20</v>
      </c>
      <c r="D218" t="s">
        <v>40</v>
      </c>
      <c r="E218">
        <v>9100000</v>
      </c>
      <c r="F218">
        <v>3601502</v>
      </c>
      <c r="G218">
        <v>5498498</v>
      </c>
      <c r="H218" s="5">
        <f>IFERROR((tbl_raw[[#This Row],[Revenue]]-tbl_raw[[#This Row],[COGS]]) / tbl_raw[[#This Row],[Revenue]], 0)</f>
        <v>0.60423054945054944</v>
      </c>
      <c r="I218" s="5" t="str" cm="1">
        <f t="array" ref="I21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18" s="5">
        <f>_xlfn.XLOOKUP(tbl_raw[[#This Row],[Kategori]], tbl_target[Kategori], tbl_target[Target_Margin], 0)</f>
        <v>0.4</v>
      </c>
      <c r="K218" t="s">
        <v>36</v>
      </c>
      <c r="L218" t="s">
        <v>19</v>
      </c>
      <c r="M218">
        <v>10226021</v>
      </c>
    </row>
    <row r="219" spans="1:13" x14ac:dyDescent="0.3">
      <c r="A219" t="s">
        <v>180</v>
      </c>
      <c r="B219" t="s">
        <v>160</v>
      </c>
      <c r="C219" t="s">
        <v>12</v>
      </c>
      <c r="D219" t="s">
        <v>13</v>
      </c>
      <c r="E219">
        <v>10400000</v>
      </c>
      <c r="F219">
        <v>5511920</v>
      </c>
      <c r="G219">
        <v>4888080</v>
      </c>
      <c r="H219" s="5">
        <f>IFERROR((tbl_raw[[#This Row],[Revenue]]-tbl_raw[[#This Row],[COGS]]) / tbl_raw[[#This Row],[Revenue]], 0)</f>
        <v>0.47000769230769229</v>
      </c>
      <c r="I219" s="5" t="str" cm="1">
        <f t="array" ref="I21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19" s="5">
        <f>_xlfn.XLOOKUP(tbl_raw[[#This Row],[Kategori]], tbl_target[Kategori], tbl_target[Target_Margin], 0)</f>
        <v>0.25</v>
      </c>
      <c r="K219" t="s">
        <v>36</v>
      </c>
      <c r="L219" t="s">
        <v>15</v>
      </c>
      <c r="M219">
        <v>10700998</v>
      </c>
    </row>
    <row r="220" spans="1:13" x14ac:dyDescent="0.3">
      <c r="A220" t="s">
        <v>181</v>
      </c>
      <c r="B220" t="s">
        <v>182</v>
      </c>
      <c r="C220" t="s">
        <v>12</v>
      </c>
      <c r="D220" t="s">
        <v>17</v>
      </c>
      <c r="E220">
        <v>3400000</v>
      </c>
      <c r="F220">
        <v>1838349</v>
      </c>
      <c r="G220">
        <v>1561651</v>
      </c>
      <c r="H220" s="5">
        <f>IFERROR((tbl_raw[[#This Row],[Revenue]]-tbl_raw[[#This Row],[COGS]]) / tbl_raw[[#This Row],[Revenue]], 0)</f>
        <v>0.45930911764705884</v>
      </c>
      <c r="I220" s="5" t="str" cm="1">
        <f t="array" ref="I22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20" s="5">
        <f>_xlfn.XLOOKUP(tbl_raw[[#This Row],[Kategori]], tbl_target[Kategori], tbl_target[Target_Margin], 0)</f>
        <v>0.25</v>
      </c>
      <c r="K220" t="s">
        <v>48</v>
      </c>
      <c r="L220" t="s">
        <v>25</v>
      </c>
      <c r="M220">
        <v>4196730</v>
      </c>
    </row>
    <row r="221" spans="1:13" x14ac:dyDescent="0.3">
      <c r="A221" t="s">
        <v>181</v>
      </c>
      <c r="B221" t="s">
        <v>182</v>
      </c>
      <c r="C221" t="s">
        <v>12</v>
      </c>
      <c r="D221" t="s">
        <v>32</v>
      </c>
      <c r="E221">
        <v>6800000</v>
      </c>
      <c r="F221">
        <v>3078342</v>
      </c>
      <c r="G221">
        <v>3721658</v>
      </c>
      <c r="H221" s="5">
        <f>IFERROR((tbl_raw[[#This Row],[Revenue]]-tbl_raw[[#This Row],[COGS]]) / tbl_raw[[#This Row],[Revenue]], 0)</f>
        <v>0.54730264705882348</v>
      </c>
      <c r="I221" s="5" t="str" cm="1">
        <f t="array" ref="I22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21" s="5">
        <f>_xlfn.XLOOKUP(tbl_raw[[#This Row],[Kategori]], tbl_target[Kategori], tbl_target[Target_Margin], 0)</f>
        <v>0.25</v>
      </c>
      <c r="K221" t="s">
        <v>48</v>
      </c>
      <c r="L221" t="s">
        <v>31</v>
      </c>
      <c r="M221">
        <v>7851812</v>
      </c>
    </row>
    <row r="222" spans="1:13" x14ac:dyDescent="0.3">
      <c r="A222" t="s">
        <v>183</v>
      </c>
      <c r="B222" t="s">
        <v>182</v>
      </c>
      <c r="C222" t="s">
        <v>12</v>
      </c>
      <c r="D222" t="s">
        <v>32</v>
      </c>
      <c r="E222">
        <v>11100000</v>
      </c>
      <c r="F222">
        <v>5163113</v>
      </c>
      <c r="G222">
        <v>5936887</v>
      </c>
      <c r="H222" s="5">
        <f>IFERROR((tbl_raw[[#This Row],[Revenue]]-tbl_raw[[#This Row],[COGS]]) / tbl_raw[[#This Row],[Revenue]], 0)</f>
        <v>0.53485468468468467</v>
      </c>
      <c r="I222" s="5" t="str" cm="1">
        <f t="array" ref="I22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22" s="5">
        <f>_xlfn.XLOOKUP(tbl_raw[[#This Row],[Kategori]], tbl_target[Kategori], tbl_target[Target_Margin], 0)</f>
        <v>0.25</v>
      </c>
      <c r="K222" t="s">
        <v>36</v>
      </c>
      <c r="L222" t="s">
        <v>41</v>
      </c>
      <c r="M222">
        <v>11390330</v>
      </c>
    </row>
    <row r="223" spans="1:13" x14ac:dyDescent="0.3">
      <c r="A223" t="s">
        <v>183</v>
      </c>
      <c r="B223" t="s">
        <v>182</v>
      </c>
      <c r="C223" t="s">
        <v>23</v>
      </c>
      <c r="D223" t="s">
        <v>24</v>
      </c>
      <c r="E223">
        <v>13000000</v>
      </c>
      <c r="F223">
        <v>4573245</v>
      </c>
      <c r="G223">
        <v>8426755</v>
      </c>
      <c r="H223" s="5">
        <f>IFERROR((tbl_raw[[#This Row],[Revenue]]-tbl_raw[[#This Row],[COGS]]) / tbl_raw[[#This Row],[Revenue]], 0)</f>
        <v>0.6482119230769231</v>
      </c>
      <c r="I223" s="5" t="str" cm="1">
        <f t="array" ref="I22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23" s="5">
        <f>_xlfn.XLOOKUP(tbl_raw[[#This Row],[Kategori]], tbl_target[Kategori], tbl_target[Target_Margin], 0)</f>
        <v>0.35</v>
      </c>
      <c r="K223" t="s">
        <v>14</v>
      </c>
      <c r="L223" t="s">
        <v>19</v>
      </c>
      <c r="M223">
        <v>14961857</v>
      </c>
    </row>
    <row r="224" spans="1:13" x14ac:dyDescent="0.3">
      <c r="A224" t="s">
        <v>184</v>
      </c>
      <c r="B224" t="s">
        <v>182</v>
      </c>
      <c r="C224" t="s">
        <v>20</v>
      </c>
      <c r="D224" t="s">
        <v>40</v>
      </c>
      <c r="E224">
        <v>2900000</v>
      </c>
      <c r="F224">
        <v>1704874</v>
      </c>
      <c r="G224">
        <v>1195126</v>
      </c>
      <c r="H224" s="5">
        <f>IFERROR((tbl_raw[[#This Row],[Revenue]]-tbl_raw[[#This Row],[COGS]]) / tbl_raw[[#This Row],[Revenue]], 0)</f>
        <v>0.41211241379310343</v>
      </c>
      <c r="I224" s="5" t="str" cm="1">
        <f t="array" ref="I22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24" s="5">
        <f>_xlfn.XLOOKUP(tbl_raw[[#This Row],[Kategori]], tbl_target[Kategori], tbl_target[Target_Margin], 0)</f>
        <v>0.4</v>
      </c>
      <c r="K224" t="s">
        <v>22</v>
      </c>
      <c r="L224" t="s">
        <v>49</v>
      </c>
      <c r="M224">
        <v>2596959</v>
      </c>
    </row>
    <row r="225" spans="1:13" x14ac:dyDescent="0.3">
      <c r="A225" t="s">
        <v>185</v>
      </c>
      <c r="B225" t="s">
        <v>182</v>
      </c>
      <c r="C225" t="s">
        <v>23</v>
      </c>
      <c r="D225" t="s">
        <v>58</v>
      </c>
      <c r="E225">
        <v>17900000</v>
      </c>
      <c r="F225">
        <v>9212528</v>
      </c>
      <c r="G225">
        <v>8687472</v>
      </c>
      <c r="H225" s="5">
        <f>IFERROR((tbl_raw[[#This Row],[Revenue]]-tbl_raw[[#This Row],[COGS]]) / tbl_raw[[#This Row],[Revenue]], 0)</f>
        <v>0.48533363128491619</v>
      </c>
      <c r="I225" s="5" t="str" cm="1">
        <f t="array" ref="I22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25" s="5">
        <f>_xlfn.XLOOKUP(tbl_raw[[#This Row],[Kategori]], tbl_target[Kategori], tbl_target[Target_Margin], 0)</f>
        <v>0.35</v>
      </c>
      <c r="K225" t="s">
        <v>14</v>
      </c>
      <c r="L225" t="s">
        <v>28</v>
      </c>
      <c r="M225">
        <v>20912081</v>
      </c>
    </row>
    <row r="226" spans="1:13" x14ac:dyDescent="0.3">
      <c r="A226" t="s">
        <v>186</v>
      </c>
      <c r="B226" t="s">
        <v>182</v>
      </c>
      <c r="C226" t="s">
        <v>23</v>
      </c>
      <c r="D226" t="s">
        <v>24</v>
      </c>
      <c r="E226">
        <v>10000000</v>
      </c>
      <c r="F226">
        <v>5036271</v>
      </c>
      <c r="G226">
        <v>4963729</v>
      </c>
      <c r="H226" s="5">
        <f>IFERROR((tbl_raw[[#This Row],[Revenue]]-tbl_raw[[#This Row],[COGS]]) / tbl_raw[[#This Row],[Revenue]], 0)</f>
        <v>0.49637290000000001</v>
      </c>
      <c r="I226" s="5" t="str" cm="1">
        <f t="array" ref="I22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26" s="5">
        <f>_xlfn.XLOOKUP(tbl_raw[[#This Row],[Kategori]], tbl_target[Kategori], tbl_target[Target_Margin], 0)</f>
        <v>0.35</v>
      </c>
      <c r="K226" t="s">
        <v>22</v>
      </c>
      <c r="L226" t="s">
        <v>19</v>
      </c>
      <c r="M226">
        <v>8620685</v>
      </c>
    </row>
    <row r="227" spans="1:13" x14ac:dyDescent="0.3">
      <c r="A227" t="s">
        <v>187</v>
      </c>
      <c r="B227" t="s">
        <v>182</v>
      </c>
      <c r="C227" t="s">
        <v>23</v>
      </c>
      <c r="D227" t="s">
        <v>58</v>
      </c>
      <c r="E227">
        <v>6900000</v>
      </c>
      <c r="F227">
        <v>2556740</v>
      </c>
      <c r="G227">
        <v>4343260</v>
      </c>
      <c r="H227" s="5">
        <f>IFERROR((tbl_raw[[#This Row],[Revenue]]-tbl_raw[[#This Row],[COGS]]) / tbl_raw[[#This Row],[Revenue]], 0)</f>
        <v>0.62945797101449275</v>
      </c>
      <c r="I227" s="5" t="str" cm="1">
        <f t="array" ref="I22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27" s="5">
        <f>_xlfn.XLOOKUP(tbl_raw[[#This Row],[Kategori]], tbl_target[Kategori], tbl_target[Target_Margin], 0)</f>
        <v>0.35</v>
      </c>
      <c r="K227" t="s">
        <v>36</v>
      </c>
      <c r="L227" t="s">
        <v>28</v>
      </c>
      <c r="M227">
        <v>8533382</v>
      </c>
    </row>
    <row r="228" spans="1:13" x14ac:dyDescent="0.3">
      <c r="A228" t="s">
        <v>188</v>
      </c>
      <c r="B228" t="s">
        <v>182</v>
      </c>
      <c r="C228" t="s">
        <v>20</v>
      </c>
      <c r="D228" t="s">
        <v>21</v>
      </c>
      <c r="E228">
        <v>8400000</v>
      </c>
      <c r="F228">
        <v>4070630</v>
      </c>
      <c r="G228">
        <v>4329370</v>
      </c>
      <c r="H228" s="5">
        <f>IFERROR((tbl_raw[[#This Row],[Revenue]]-tbl_raw[[#This Row],[COGS]]) / tbl_raw[[#This Row],[Revenue]], 0)</f>
        <v>0.51540119047619048</v>
      </c>
      <c r="I228" s="5" t="str" cm="1">
        <f t="array" ref="I22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28" s="5">
        <f>_xlfn.XLOOKUP(tbl_raw[[#This Row],[Kategori]], tbl_target[Kategori], tbl_target[Target_Margin], 0)</f>
        <v>0.4</v>
      </c>
      <c r="K228" t="s">
        <v>18</v>
      </c>
      <c r="L228" t="s">
        <v>25</v>
      </c>
      <c r="M228">
        <v>9553604</v>
      </c>
    </row>
    <row r="229" spans="1:13" x14ac:dyDescent="0.3">
      <c r="A229" t="s">
        <v>188</v>
      </c>
      <c r="B229" t="s">
        <v>182</v>
      </c>
      <c r="C229" t="s">
        <v>20</v>
      </c>
      <c r="D229" t="s">
        <v>30</v>
      </c>
      <c r="E229">
        <v>11300000</v>
      </c>
      <c r="F229">
        <v>6050716</v>
      </c>
      <c r="G229">
        <v>5249284</v>
      </c>
      <c r="H229" s="5">
        <f>IFERROR((tbl_raw[[#This Row],[Revenue]]-tbl_raw[[#This Row],[COGS]]) / tbl_raw[[#This Row],[Revenue]], 0)</f>
        <v>0.464538407079646</v>
      </c>
      <c r="I229" s="5" t="str" cm="1">
        <f t="array" ref="I22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29" s="5">
        <f>_xlfn.XLOOKUP(tbl_raw[[#This Row],[Kategori]], tbl_target[Kategori], tbl_target[Target_Margin], 0)</f>
        <v>0.4</v>
      </c>
      <c r="K229" t="s">
        <v>18</v>
      </c>
      <c r="L229" t="s">
        <v>34</v>
      </c>
      <c r="M229">
        <v>11146438</v>
      </c>
    </row>
    <row r="230" spans="1:13" x14ac:dyDescent="0.3">
      <c r="A230" t="s">
        <v>189</v>
      </c>
      <c r="B230" t="s">
        <v>182</v>
      </c>
      <c r="C230" t="s">
        <v>12</v>
      </c>
      <c r="D230" t="s">
        <v>32</v>
      </c>
      <c r="E230">
        <v>3000000</v>
      </c>
      <c r="F230">
        <v>1116532</v>
      </c>
      <c r="G230">
        <v>1883468</v>
      </c>
      <c r="H230" s="5">
        <f>IFERROR((tbl_raw[[#This Row],[Revenue]]-tbl_raw[[#This Row],[COGS]]) / tbl_raw[[#This Row],[Revenue]], 0)</f>
        <v>0.62782266666666664</v>
      </c>
      <c r="I230" s="5" t="str" cm="1">
        <f t="array" ref="I23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30" s="5">
        <f>_xlfn.XLOOKUP(tbl_raw[[#This Row],[Kategori]], tbl_target[Kategori], tbl_target[Target_Margin], 0)</f>
        <v>0.25</v>
      </c>
      <c r="K230" t="s">
        <v>14</v>
      </c>
      <c r="L230" t="s">
        <v>28</v>
      </c>
      <c r="M230">
        <v>3274318</v>
      </c>
    </row>
    <row r="231" spans="1:13" x14ac:dyDescent="0.3">
      <c r="A231" t="s">
        <v>189</v>
      </c>
      <c r="B231" t="s">
        <v>182</v>
      </c>
      <c r="C231" t="s">
        <v>23</v>
      </c>
      <c r="D231" t="s">
        <v>58</v>
      </c>
      <c r="E231">
        <v>16900000</v>
      </c>
      <c r="F231">
        <v>7279760</v>
      </c>
      <c r="G231">
        <v>9620240</v>
      </c>
      <c r="H231" s="5">
        <f>IFERROR((tbl_raw[[#This Row],[Revenue]]-tbl_raw[[#This Row],[COGS]]) / tbl_raw[[#This Row],[Revenue]], 0)</f>
        <v>0.56924497041420119</v>
      </c>
      <c r="I231" s="5" t="str" cm="1">
        <f t="array" ref="I23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31" s="5">
        <f>_xlfn.XLOOKUP(tbl_raw[[#This Row],[Kategori]], tbl_target[Kategori], tbl_target[Target_Margin], 0)</f>
        <v>0.35</v>
      </c>
      <c r="K231" t="s">
        <v>36</v>
      </c>
      <c r="L231" t="s">
        <v>49</v>
      </c>
      <c r="M231">
        <v>15427313</v>
      </c>
    </row>
    <row r="232" spans="1:13" x14ac:dyDescent="0.3">
      <c r="A232" t="s">
        <v>190</v>
      </c>
      <c r="B232" t="s">
        <v>182</v>
      </c>
      <c r="C232" t="s">
        <v>20</v>
      </c>
      <c r="D232" t="s">
        <v>30</v>
      </c>
      <c r="E232">
        <v>15000000</v>
      </c>
      <c r="F232">
        <v>5979757</v>
      </c>
      <c r="G232">
        <v>9020243</v>
      </c>
      <c r="H232" s="5">
        <f>IFERROR((tbl_raw[[#This Row],[Revenue]]-tbl_raw[[#This Row],[COGS]]) / tbl_raw[[#This Row],[Revenue]], 0)</f>
        <v>0.6013495333333333</v>
      </c>
      <c r="I232" s="5" t="str" cm="1">
        <f t="array" ref="I23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32" s="5">
        <f>_xlfn.XLOOKUP(tbl_raw[[#This Row],[Kategori]], tbl_target[Kategori], tbl_target[Target_Margin], 0)</f>
        <v>0.4</v>
      </c>
      <c r="K232" t="s">
        <v>14</v>
      </c>
      <c r="L232" t="s">
        <v>19</v>
      </c>
      <c r="M232">
        <v>18552046</v>
      </c>
    </row>
    <row r="233" spans="1:13" x14ac:dyDescent="0.3">
      <c r="A233" t="s">
        <v>191</v>
      </c>
      <c r="B233" t="s">
        <v>182</v>
      </c>
      <c r="C233" t="s">
        <v>23</v>
      </c>
      <c r="D233" t="s">
        <v>58</v>
      </c>
      <c r="E233">
        <v>4400000</v>
      </c>
      <c r="F233">
        <v>2558656</v>
      </c>
      <c r="G233">
        <v>1841344</v>
      </c>
      <c r="H233" s="5">
        <f>IFERROR((tbl_raw[[#This Row],[Revenue]]-tbl_raw[[#This Row],[COGS]]) / tbl_raw[[#This Row],[Revenue]], 0)</f>
        <v>0.41848727272727271</v>
      </c>
      <c r="I233" s="5" t="str" cm="1">
        <f t="array" ref="I23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33" s="5">
        <f>_xlfn.XLOOKUP(tbl_raw[[#This Row],[Kategori]], tbl_target[Kategori], tbl_target[Target_Margin], 0)</f>
        <v>0.35</v>
      </c>
      <c r="K233" t="s">
        <v>14</v>
      </c>
      <c r="L233" t="s">
        <v>19</v>
      </c>
      <c r="M233">
        <v>5054239</v>
      </c>
    </row>
    <row r="234" spans="1:13" x14ac:dyDescent="0.3">
      <c r="A234" t="s">
        <v>191</v>
      </c>
      <c r="B234" t="s">
        <v>182</v>
      </c>
      <c r="C234" t="s">
        <v>23</v>
      </c>
      <c r="D234" t="s">
        <v>58</v>
      </c>
      <c r="E234">
        <v>7900000</v>
      </c>
      <c r="F234">
        <v>3253092</v>
      </c>
      <c r="G234">
        <v>4646908</v>
      </c>
      <c r="H234" s="5">
        <f>IFERROR((tbl_raw[[#This Row],[Revenue]]-tbl_raw[[#This Row],[COGS]]) / tbl_raw[[#This Row],[Revenue]], 0)</f>
        <v>0.58821620253164553</v>
      </c>
      <c r="I234" s="5" t="str" cm="1">
        <f t="array" ref="I23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34" s="5">
        <f>_xlfn.XLOOKUP(tbl_raw[[#This Row],[Kategori]], tbl_target[Kategori], tbl_target[Target_Margin], 0)</f>
        <v>0.35</v>
      </c>
      <c r="K234" t="s">
        <v>18</v>
      </c>
      <c r="L234" t="s">
        <v>28</v>
      </c>
      <c r="M234">
        <v>6397263</v>
      </c>
    </row>
    <row r="235" spans="1:13" x14ac:dyDescent="0.3">
      <c r="A235" t="s">
        <v>192</v>
      </c>
      <c r="B235" t="s">
        <v>182</v>
      </c>
      <c r="C235" t="s">
        <v>20</v>
      </c>
      <c r="D235" t="s">
        <v>40</v>
      </c>
      <c r="E235">
        <v>2700000</v>
      </c>
      <c r="F235">
        <v>1294619</v>
      </c>
      <c r="G235">
        <v>1405381</v>
      </c>
      <c r="H235" s="5">
        <f>IFERROR((tbl_raw[[#This Row],[Revenue]]-tbl_raw[[#This Row],[COGS]]) / tbl_raw[[#This Row],[Revenue]], 0)</f>
        <v>0.52051148148148152</v>
      </c>
      <c r="I235" s="5" t="str" cm="1">
        <f t="array" ref="I23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35" s="5">
        <f>_xlfn.XLOOKUP(tbl_raw[[#This Row],[Kategori]], tbl_target[Kategori], tbl_target[Target_Margin], 0)</f>
        <v>0.4</v>
      </c>
      <c r="K235" t="s">
        <v>22</v>
      </c>
      <c r="L235" t="s">
        <v>34</v>
      </c>
      <c r="M235">
        <v>3003534</v>
      </c>
    </row>
    <row r="236" spans="1:13" x14ac:dyDescent="0.3">
      <c r="A236" t="s">
        <v>193</v>
      </c>
      <c r="B236" t="s">
        <v>182</v>
      </c>
      <c r="C236" t="s">
        <v>20</v>
      </c>
      <c r="D236" t="s">
        <v>21</v>
      </c>
      <c r="E236">
        <v>2300000</v>
      </c>
      <c r="F236">
        <v>1215569</v>
      </c>
      <c r="G236">
        <v>1084431</v>
      </c>
      <c r="H236" s="5">
        <f>IFERROR((tbl_raw[[#This Row],[Revenue]]-tbl_raw[[#This Row],[COGS]]) / tbl_raw[[#This Row],[Revenue]], 0)</f>
        <v>0.47149173913043479</v>
      </c>
      <c r="I236" s="5" t="str" cm="1">
        <f t="array" ref="I23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36" s="5">
        <f>_xlfn.XLOOKUP(tbl_raw[[#This Row],[Kategori]], tbl_target[Kategori], tbl_target[Target_Margin], 0)</f>
        <v>0.4</v>
      </c>
      <c r="K236" t="s">
        <v>14</v>
      </c>
      <c r="L236" t="s">
        <v>49</v>
      </c>
      <c r="M236">
        <v>2409566</v>
      </c>
    </row>
    <row r="237" spans="1:13" x14ac:dyDescent="0.3">
      <c r="A237" t="s">
        <v>194</v>
      </c>
      <c r="B237" t="s">
        <v>182</v>
      </c>
      <c r="C237" t="s">
        <v>23</v>
      </c>
      <c r="D237" t="s">
        <v>27</v>
      </c>
      <c r="E237">
        <v>8300000</v>
      </c>
      <c r="F237">
        <v>4208365</v>
      </c>
      <c r="G237">
        <v>4091635</v>
      </c>
      <c r="H237" s="5">
        <f>IFERROR((tbl_raw[[#This Row],[Revenue]]-tbl_raw[[#This Row],[COGS]]) / tbl_raw[[#This Row],[Revenue]], 0)</f>
        <v>0.49296807228915662</v>
      </c>
      <c r="I237" s="5" t="str" cm="1">
        <f t="array" ref="I23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37" s="5">
        <f>_xlfn.XLOOKUP(tbl_raw[[#This Row],[Kategori]], tbl_target[Kategori], tbl_target[Target_Margin], 0)</f>
        <v>0.35</v>
      </c>
      <c r="K237" t="s">
        <v>14</v>
      </c>
      <c r="L237" t="s">
        <v>31</v>
      </c>
      <c r="M237">
        <v>7137907</v>
      </c>
    </row>
    <row r="238" spans="1:13" x14ac:dyDescent="0.3">
      <c r="A238" t="s">
        <v>195</v>
      </c>
      <c r="B238" t="s">
        <v>182</v>
      </c>
      <c r="C238" t="s">
        <v>20</v>
      </c>
      <c r="D238" t="s">
        <v>30</v>
      </c>
      <c r="E238">
        <v>19500000</v>
      </c>
      <c r="F238">
        <v>7287097</v>
      </c>
      <c r="G238">
        <v>12212903</v>
      </c>
      <c r="H238" s="5">
        <f>IFERROR((tbl_raw[[#This Row],[Revenue]]-tbl_raw[[#This Row],[COGS]]) / tbl_raw[[#This Row],[Revenue]], 0)</f>
        <v>0.62630271794871795</v>
      </c>
      <c r="I238" s="5" t="str" cm="1">
        <f t="array" ref="I23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38" s="5">
        <f>_xlfn.XLOOKUP(tbl_raw[[#This Row],[Kategori]], tbl_target[Kategori], tbl_target[Target_Margin], 0)</f>
        <v>0.4</v>
      </c>
      <c r="K238" t="s">
        <v>14</v>
      </c>
      <c r="L238" t="s">
        <v>31</v>
      </c>
      <c r="M238">
        <v>19537425</v>
      </c>
    </row>
    <row r="239" spans="1:13" x14ac:dyDescent="0.3">
      <c r="A239" t="s">
        <v>196</v>
      </c>
      <c r="B239" t="s">
        <v>182</v>
      </c>
      <c r="C239" t="s">
        <v>12</v>
      </c>
      <c r="D239" t="s">
        <v>17</v>
      </c>
      <c r="E239">
        <v>10700000</v>
      </c>
      <c r="F239">
        <v>4075286</v>
      </c>
      <c r="G239">
        <v>6624714</v>
      </c>
      <c r="H239" s="5">
        <f>IFERROR((tbl_raw[[#This Row],[Revenue]]-tbl_raw[[#This Row],[COGS]]) / tbl_raw[[#This Row],[Revenue]], 0)</f>
        <v>0.61913214953271023</v>
      </c>
      <c r="I239" s="5" t="str" cm="1">
        <f t="array" ref="I23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39" s="5">
        <f>_xlfn.XLOOKUP(tbl_raw[[#This Row],[Kategori]], tbl_target[Kategori], tbl_target[Target_Margin], 0)</f>
        <v>0.25</v>
      </c>
      <c r="K239" t="s">
        <v>48</v>
      </c>
      <c r="L239" t="s">
        <v>25</v>
      </c>
      <c r="M239">
        <v>12517154</v>
      </c>
    </row>
    <row r="240" spans="1:13" x14ac:dyDescent="0.3">
      <c r="A240" t="s">
        <v>196</v>
      </c>
      <c r="B240" t="s">
        <v>182</v>
      </c>
      <c r="C240" t="s">
        <v>23</v>
      </c>
      <c r="D240" t="s">
        <v>58</v>
      </c>
      <c r="E240">
        <v>12800000</v>
      </c>
      <c r="F240">
        <v>5351003</v>
      </c>
      <c r="G240">
        <v>7448997</v>
      </c>
      <c r="H240" s="5">
        <f>IFERROR((tbl_raw[[#This Row],[Revenue]]-tbl_raw[[#This Row],[COGS]]) / tbl_raw[[#This Row],[Revenue]], 0)</f>
        <v>0.581952890625</v>
      </c>
      <c r="I240" s="5" t="str" cm="1">
        <f t="array" ref="I24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40" s="5">
        <f>_xlfn.XLOOKUP(tbl_raw[[#This Row],[Kategori]], tbl_target[Kategori], tbl_target[Target_Margin], 0)</f>
        <v>0.35</v>
      </c>
      <c r="K240" t="s">
        <v>18</v>
      </c>
      <c r="L240" t="s">
        <v>41</v>
      </c>
      <c r="M240">
        <v>16255616</v>
      </c>
    </row>
    <row r="241" spans="1:13" x14ac:dyDescent="0.3">
      <c r="A241" t="s">
        <v>197</v>
      </c>
      <c r="B241" t="s">
        <v>182</v>
      </c>
      <c r="C241" t="s">
        <v>20</v>
      </c>
      <c r="D241" t="s">
        <v>21</v>
      </c>
      <c r="E241">
        <v>14700000</v>
      </c>
      <c r="F241">
        <v>7977833</v>
      </c>
      <c r="G241">
        <v>6722167</v>
      </c>
      <c r="H241" s="5">
        <f>IFERROR((tbl_raw[[#This Row],[Revenue]]-tbl_raw[[#This Row],[COGS]]) / tbl_raw[[#This Row],[Revenue]], 0)</f>
        <v>0.45729027210884354</v>
      </c>
      <c r="I241" s="5" t="str" cm="1">
        <f t="array" ref="I24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41" s="5">
        <f>_xlfn.XLOOKUP(tbl_raw[[#This Row],[Kategori]], tbl_target[Kategori], tbl_target[Target_Margin], 0)</f>
        <v>0.4</v>
      </c>
      <c r="K241" t="s">
        <v>18</v>
      </c>
      <c r="L241" t="s">
        <v>25</v>
      </c>
      <c r="M241">
        <v>14606475</v>
      </c>
    </row>
    <row r="242" spans="1:13" x14ac:dyDescent="0.3">
      <c r="A242" t="s">
        <v>198</v>
      </c>
      <c r="B242" t="s">
        <v>182</v>
      </c>
      <c r="C242" t="s">
        <v>23</v>
      </c>
      <c r="D242" t="s">
        <v>58</v>
      </c>
      <c r="E242">
        <v>16000000</v>
      </c>
      <c r="F242">
        <v>8494916</v>
      </c>
      <c r="G242">
        <v>7505084</v>
      </c>
      <c r="H242" s="5">
        <f>IFERROR((tbl_raw[[#This Row],[Revenue]]-tbl_raw[[#This Row],[COGS]]) / tbl_raw[[#This Row],[Revenue]], 0)</f>
        <v>0.46906775000000001</v>
      </c>
      <c r="I242" s="5" t="str" cm="1">
        <f t="array" ref="I24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42" s="5">
        <f>_xlfn.XLOOKUP(tbl_raw[[#This Row],[Kategori]], tbl_target[Kategori], tbl_target[Target_Margin], 0)</f>
        <v>0.35</v>
      </c>
      <c r="K242" t="s">
        <v>48</v>
      </c>
      <c r="L242" t="s">
        <v>41</v>
      </c>
      <c r="M242">
        <v>16262849</v>
      </c>
    </row>
    <row r="243" spans="1:13" x14ac:dyDescent="0.3">
      <c r="A243" t="s">
        <v>199</v>
      </c>
      <c r="B243" t="s">
        <v>182</v>
      </c>
      <c r="C243" t="s">
        <v>20</v>
      </c>
      <c r="D243" t="s">
        <v>21</v>
      </c>
      <c r="E243">
        <v>19400000</v>
      </c>
      <c r="F243">
        <v>6901155</v>
      </c>
      <c r="G243">
        <v>12498845</v>
      </c>
      <c r="H243" s="5">
        <f>IFERROR((tbl_raw[[#This Row],[Revenue]]-tbl_raw[[#This Row],[COGS]]) / tbl_raw[[#This Row],[Revenue]], 0)</f>
        <v>0.64427036082474232</v>
      </c>
      <c r="I243" s="5" t="str" cm="1">
        <f t="array" ref="I24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43" s="5">
        <f>_xlfn.XLOOKUP(tbl_raw[[#This Row],[Kategori]], tbl_target[Kategori], tbl_target[Target_Margin], 0)</f>
        <v>0.4</v>
      </c>
      <c r="K243" t="s">
        <v>14</v>
      </c>
      <c r="L243" t="s">
        <v>34</v>
      </c>
      <c r="M243">
        <v>23140394</v>
      </c>
    </row>
    <row r="244" spans="1:13" x14ac:dyDescent="0.3">
      <c r="A244" t="s">
        <v>200</v>
      </c>
      <c r="B244" t="s">
        <v>182</v>
      </c>
      <c r="C244" t="s">
        <v>20</v>
      </c>
      <c r="D244" t="s">
        <v>40</v>
      </c>
      <c r="E244">
        <v>1700000</v>
      </c>
      <c r="F244">
        <v>716769</v>
      </c>
      <c r="G244">
        <v>983231</v>
      </c>
      <c r="H244" s="5">
        <f>IFERROR((tbl_raw[[#This Row],[Revenue]]-tbl_raw[[#This Row],[COGS]]) / tbl_raw[[#This Row],[Revenue]], 0)</f>
        <v>0.57837117647058822</v>
      </c>
      <c r="I244" s="5" t="str" cm="1">
        <f t="array" ref="I24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44" s="5">
        <f>_xlfn.XLOOKUP(tbl_raw[[#This Row],[Kategori]], tbl_target[Kategori], tbl_target[Target_Margin], 0)</f>
        <v>0.4</v>
      </c>
      <c r="K244" t="s">
        <v>18</v>
      </c>
      <c r="L244" t="s">
        <v>41</v>
      </c>
      <c r="M244">
        <v>1435153</v>
      </c>
    </row>
    <row r="245" spans="1:13" x14ac:dyDescent="0.3">
      <c r="A245" t="s">
        <v>201</v>
      </c>
      <c r="B245" t="s">
        <v>182</v>
      </c>
      <c r="C245" t="s">
        <v>23</v>
      </c>
      <c r="D245" t="s">
        <v>58</v>
      </c>
      <c r="E245">
        <v>18900000</v>
      </c>
      <c r="F245">
        <v>8541063</v>
      </c>
      <c r="G245">
        <v>10358937</v>
      </c>
      <c r="H245" s="5">
        <f>IFERROR((tbl_raw[[#This Row],[Revenue]]-tbl_raw[[#This Row],[COGS]]) / tbl_raw[[#This Row],[Revenue]], 0)</f>
        <v>0.54809190476190472</v>
      </c>
      <c r="I245" s="5" t="str" cm="1">
        <f t="array" ref="I24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45" s="5">
        <f>_xlfn.XLOOKUP(tbl_raw[[#This Row],[Kategori]], tbl_target[Kategori], tbl_target[Target_Margin], 0)</f>
        <v>0.35</v>
      </c>
      <c r="K245" t="s">
        <v>48</v>
      </c>
      <c r="L245" t="s">
        <v>25</v>
      </c>
      <c r="M245">
        <v>15124010</v>
      </c>
    </row>
    <row r="246" spans="1:13" x14ac:dyDescent="0.3">
      <c r="A246" t="s">
        <v>202</v>
      </c>
      <c r="B246" t="s">
        <v>182</v>
      </c>
      <c r="C246" t="s">
        <v>12</v>
      </c>
      <c r="D246" t="s">
        <v>13</v>
      </c>
      <c r="E246">
        <v>8800000</v>
      </c>
      <c r="F246">
        <v>3543204</v>
      </c>
      <c r="G246">
        <v>5256796</v>
      </c>
      <c r="H246" s="5">
        <f>IFERROR((tbl_raw[[#This Row],[Revenue]]-tbl_raw[[#This Row],[COGS]]) / tbl_raw[[#This Row],[Revenue]], 0)</f>
        <v>0.59736318181818182</v>
      </c>
      <c r="I246" s="5" t="str" cm="1">
        <f t="array" ref="I24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46" s="5">
        <f>_xlfn.XLOOKUP(tbl_raw[[#This Row],[Kategori]], tbl_target[Kategori], tbl_target[Target_Margin], 0)</f>
        <v>0.25</v>
      </c>
      <c r="K246" t="s">
        <v>48</v>
      </c>
      <c r="L246" t="s">
        <v>49</v>
      </c>
      <c r="M246">
        <v>9069661</v>
      </c>
    </row>
    <row r="247" spans="1:13" x14ac:dyDescent="0.3">
      <c r="A247" t="s">
        <v>203</v>
      </c>
      <c r="B247" t="s">
        <v>182</v>
      </c>
      <c r="C247" t="s">
        <v>23</v>
      </c>
      <c r="D247" t="s">
        <v>27</v>
      </c>
      <c r="E247">
        <v>14600000</v>
      </c>
      <c r="F247">
        <v>7242038</v>
      </c>
      <c r="G247">
        <v>7357962</v>
      </c>
      <c r="H247" s="5">
        <f>IFERROR((tbl_raw[[#This Row],[Revenue]]-tbl_raw[[#This Row],[COGS]]) / tbl_raw[[#This Row],[Revenue]], 0)</f>
        <v>0.50397000000000003</v>
      </c>
      <c r="I247" s="5" t="str" cm="1">
        <f t="array" ref="I24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47" s="5">
        <f>_xlfn.XLOOKUP(tbl_raw[[#This Row],[Kategori]], tbl_target[Kategori], tbl_target[Target_Margin], 0)</f>
        <v>0.35</v>
      </c>
      <c r="K247" t="s">
        <v>48</v>
      </c>
      <c r="L247" t="s">
        <v>34</v>
      </c>
      <c r="M247">
        <v>17245163</v>
      </c>
    </row>
    <row r="248" spans="1:13" x14ac:dyDescent="0.3">
      <c r="A248" t="s">
        <v>204</v>
      </c>
      <c r="B248" t="s">
        <v>205</v>
      </c>
      <c r="C248" t="s">
        <v>12</v>
      </c>
      <c r="D248" t="s">
        <v>13</v>
      </c>
      <c r="E248">
        <v>14500000</v>
      </c>
      <c r="F248">
        <v>7745385</v>
      </c>
      <c r="G248">
        <v>6754615</v>
      </c>
      <c r="H248" s="5">
        <f>IFERROR((tbl_raw[[#This Row],[Revenue]]-tbl_raw[[#This Row],[COGS]]) / tbl_raw[[#This Row],[Revenue]], 0)</f>
        <v>0.46583551724137934</v>
      </c>
      <c r="I248" s="5" t="str" cm="1">
        <f t="array" ref="I24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48" s="5">
        <f>_xlfn.XLOOKUP(tbl_raw[[#This Row],[Kategori]], tbl_target[Kategori], tbl_target[Target_Margin], 0)</f>
        <v>0.25</v>
      </c>
      <c r="K248" t="s">
        <v>36</v>
      </c>
      <c r="L248" t="s">
        <v>49</v>
      </c>
      <c r="M248">
        <v>15432407</v>
      </c>
    </row>
    <row r="249" spans="1:13" x14ac:dyDescent="0.3">
      <c r="A249" t="s">
        <v>206</v>
      </c>
      <c r="B249" t="s">
        <v>205</v>
      </c>
      <c r="C249" t="s">
        <v>20</v>
      </c>
      <c r="D249" t="s">
        <v>21</v>
      </c>
      <c r="E249">
        <v>18400000</v>
      </c>
      <c r="F249">
        <v>10870924</v>
      </c>
      <c r="G249">
        <v>7529076</v>
      </c>
      <c r="H249" s="5">
        <f>IFERROR((tbl_raw[[#This Row],[Revenue]]-tbl_raw[[#This Row],[COGS]]) / tbl_raw[[#This Row],[Revenue]], 0)</f>
        <v>0.40918891304347826</v>
      </c>
      <c r="I249" s="5" t="str" cm="1">
        <f t="array" ref="I24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49" s="5">
        <f>_xlfn.XLOOKUP(tbl_raw[[#This Row],[Kategori]], tbl_target[Kategori], tbl_target[Target_Margin], 0)</f>
        <v>0.4</v>
      </c>
      <c r="K249" t="s">
        <v>22</v>
      </c>
      <c r="L249" t="s">
        <v>28</v>
      </c>
      <c r="M249">
        <v>18599401</v>
      </c>
    </row>
    <row r="250" spans="1:13" x14ac:dyDescent="0.3">
      <c r="A250" t="s">
        <v>206</v>
      </c>
      <c r="B250" t="s">
        <v>205</v>
      </c>
      <c r="C250" t="s">
        <v>12</v>
      </c>
      <c r="D250" t="s">
        <v>13</v>
      </c>
      <c r="E250">
        <v>9900000</v>
      </c>
      <c r="F250">
        <v>4549318</v>
      </c>
      <c r="G250">
        <v>5350682</v>
      </c>
      <c r="H250" s="5">
        <f>IFERROR((tbl_raw[[#This Row],[Revenue]]-tbl_raw[[#This Row],[COGS]]) / tbl_raw[[#This Row],[Revenue]], 0)</f>
        <v>0.54047292929292934</v>
      </c>
      <c r="I250" s="5" t="str" cm="1">
        <f t="array" ref="I25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50" s="5">
        <f>_xlfn.XLOOKUP(tbl_raw[[#This Row],[Kategori]], tbl_target[Kategori], tbl_target[Target_Margin], 0)</f>
        <v>0.25</v>
      </c>
      <c r="K250" t="s">
        <v>14</v>
      </c>
      <c r="L250" t="s">
        <v>49</v>
      </c>
      <c r="M250">
        <v>8626655</v>
      </c>
    </row>
    <row r="251" spans="1:13" x14ac:dyDescent="0.3">
      <c r="A251" t="s">
        <v>206</v>
      </c>
      <c r="B251" t="s">
        <v>205</v>
      </c>
      <c r="C251" t="s">
        <v>20</v>
      </c>
      <c r="D251" t="s">
        <v>21</v>
      </c>
      <c r="E251">
        <v>1300000</v>
      </c>
      <c r="F251">
        <v>559933</v>
      </c>
      <c r="G251">
        <v>740067</v>
      </c>
      <c r="H251" s="5">
        <f>IFERROR((tbl_raw[[#This Row],[Revenue]]-tbl_raw[[#This Row],[COGS]]) / tbl_raw[[#This Row],[Revenue]], 0)</f>
        <v>0.5692823076923077</v>
      </c>
      <c r="I251" s="5" t="str" cm="1">
        <f t="array" ref="I25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51" s="5">
        <f>_xlfn.XLOOKUP(tbl_raw[[#This Row],[Kategori]], tbl_target[Kategori], tbl_target[Target_Margin], 0)</f>
        <v>0.4</v>
      </c>
      <c r="K251" t="s">
        <v>36</v>
      </c>
      <c r="L251" t="s">
        <v>25</v>
      </c>
      <c r="M251">
        <v>1399206</v>
      </c>
    </row>
    <row r="252" spans="1:13" x14ac:dyDescent="0.3">
      <c r="A252" t="s">
        <v>206</v>
      </c>
      <c r="B252" t="s">
        <v>205</v>
      </c>
      <c r="C252" t="s">
        <v>20</v>
      </c>
      <c r="D252" t="s">
        <v>40</v>
      </c>
      <c r="E252">
        <v>2600000</v>
      </c>
      <c r="F252">
        <v>1130422</v>
      </c>
      <c r="G252">
        <v>1469578</v>
      </c>
      <c r="H252" s="5">
        <f>IFERROR((tbl_raw[[#This Row],[Revenue]]-tbl_raw[[#This Row],[COGS]]) / tbl_raw[[#This Row],[Revenue]], 0)</f>
        <v>0.56522230769230775</v>
      </c>
      <c r="I252" s="5" t="str" cm="1">
        <f t="array" ref="I25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52" s="5">
        <f>_xlfn.XLOOKUP(tbl_raw[[#This Row],[Kategori]], tbl_target[Kategori], tbl_target[Target_Margin], 0)</f>
        <v>0.4</v>
      </c>
      <c r="K252" t="s">
        <v>18</v>
      </c>
      <c r="L252" t="s">
        <v>28</v>
      </c>
      <c r="M252">
        <v>2778836</v>
      </c>
    </row>
    <row r="253" spans="1:13" x14ac:dyDescent="0.3">
      <c r="A253" t="s">
        <v>207</v>
      </c>
      <c r="B253" t="s">
        <v>205</v>
      </c>
      <c r="C253" t="s">
        <v>20</v>
      </c>
      <c r="D253" t="s">
        <v>40</v>
      </c>
      <c r="E253">
        <v>16200000</v>
      </c>
      <c r="F253">
        <v>7996375</v>
      </c>
      <c r="G253">
        <v>8203625</v>
      </c>
      <c r="H253" s="5">
        <f>IFERROR((tbl_raw[[#This Row],[Revenue]]-tbl_raw[[#This Row],[COGS]]) / tbl_raw[[#This Row],[Revenue]], 0)</f>
        <v>0.50639660493827165</v>
      </c>
      <c r="I253" s="5" t="str" cm="1">
        <f t="array" ref="I25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53" s="5">
        <f>_xlfn.XLOOKUP(tbl_raw[[#This Row],[Kategori]], tbl_target[Kategori], tbl_target[Target_Margin], 0)</f>
        <v>0.4</v>
      </c>
      <c r="K253" t="s">
        <v>48</v>
      </c>
      <c r="L253" t="s">
        <v>41</v>
      </c>
      <c r="M253">
        <v>20447888</v>
      </c>
    </row>
    <row r="254" spans="1:13" x14ac:dyDescent="0.3">
      <c r="A254" t="s">
        <v>208</v>
      </c>
      <c r="B254" t="s">
        <v>205</v>
      </c>
      <c r="C254" t="s">
        <v>12</v>
      </c>
      <c r="D254" t="s">
        <v>32</v>
      </c>
      <c r="E254">
        <v>18800000</v>
      </c>
      <c r="F254">
        <v>7852480</v>
      </c>
      <c r="G254">
        <v>10947520</v>
      </c>
      <c r="H254" s="5">
        <f>IFERROR((tbl_raw[[#This Row],[Revenue]]-tbl_raw[[#This Row],[COGS]]) / tbl_raw[[#This Row],[Revenue]], 0)</f>
        <v>0.58231489361702127</v>
      </c>
      <c r="I254" s="5" t="str" cm="1">
        <f t="array" ref="I25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54" s="5">
        <f>_xlfn.XLOOKUP(tbl_raw[[#This Row],[Kategori]], tbl_target[Kategori], tbl_target[Target_Margin], 0)</f>
        <v>0.25</v>
      </c>
      <c r="K254" t="s">
        <v>14</v>
      </c>
      <c r="L254" t="s">
        <v>19</v>
      </c>
      <c r="M254">
        <v>20380980</v>
      </c>
    </row>
    <row r="255" spans="1:13" x14ac:dyDescent="0.3">
      <c r="A255" t="s">
        <v>209</v>
      </c>
      <c r="B255" t="s">
        <v>205</v>
      </c>
      <c r="C255" t="s">
        <v>23</v>
      </c>
      <c r="D255" t="s">
        <v>24</v>
      </c>
      <c r="E255">
        <v>500000</v>
      </c>
      <c r="F255">
        <v>215901</v>
      </c>
      <c r="G255">
        <v>284099</v>
      </c>
      <c r="H255" s="5">
        <f>IFERROR((tbl_raw[[#This Row],[Revenue]]-tbl_raw[[#This Row],[COGS]]) / tbl_raw[[#This Row],[Revenue]], 0)</f>
        <v>0.56819799999999998</v>
      </c>
      <c r="I255" s="5" t="str" cm="1">
        <f t="array" ref="I25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55" s="5">
        <f>_xlfn.XLOOKUP(tbl_raw[[#This Row],[Kategori]], tbl_target[Kategori], tbl_target[Target_Margin], 0)</f>
        <v>0.35</v>
      </c>
      <c r="K255" t="s">
        <v>36</v>
      </c>
      <c r="L255" t="s">
        <v>15</v>
      </c>
      <c r="M255">
        <v>606209</v>
      </c>
    </row>
    <row r="256" spans="1:13" x14ac:dyDescent="0.3">
      <c r="A256" t="s">
        <v>209</v>
      </c>
      <c r="B256" t="s">
        <v>205</v>
      </c>
      <c r="C256" t="s">
        <v>20</v>
      </c>
      <c r="D256" t="s">
        <v>21</v>
      </c>
      <c r="E256">
        <v>18200000</v>
      </c>
      <c r="F256">
        <v>6572422</v>
      </c>
      <c r="G256">
        <v>11627578</v>
      </c>
      <c r="H256" s="5">
        <f>IFERROR((tbl_raw[[#This Row],[Revenue]]-tbl_raw[[#This Row],[COGS]]) / tbl_raw[[#This Row],[Revenue]], 0)</f>
        <v>0.63887791208791211</v>
      </c>
      <c r="I256" s="5" t="str" cm="1">
        <f t="array" ref="I25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56" s="5">
        <f>_xlfn.XLOOKUP(tbl_raw[[#This Row],[Kategori]], tbl_target[Kategori], tbl_target[Target_Margin], 0)</f>
        <v>0.4</v>
      </c>
      <c r="K256" t="s">
        <v>36</v>
      </c>
      <c r="L256" t="s">
        <v>31</v>
      </c>
      <c r="M256">
        <v>15591835</v>
      </c>
    </row>
    <row r="257" spans="1:13" x14ac:dyDescent="0.3">
      <c r="A257" t="s">
        <v>210</v>
      </c>
      <c r="B257" t="s">
        <v>205</v>
      </c>
      <c r="C257" t="s">
        <v>12</v>
      </c>
      <c r="D257" t="s">
        <v>32</v>
      </c>
      <c r="E257">
        <v>18400000</v>
      </c>
      <c r="F257">
        <v>10205498</v>
      </c>
      <c r="G257">
        <v>8194502</v>
      </c>
      <c r="H257" s="5">
        <f>IFERROR((tbl_raw[[#This Row],[Revenue]]-tbl_raw[[#This Row],[COGS]]) / tbl_raw[[#This Row],[Revenue]], 0)</f>
        <v>0.44535336956521737</v>
      </c>
      <c r="I257" s="5" t="str" cm="1">
        <f t="array" ref="I25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57" s="5">
        <f>_xlfn.XLOOKUP(tbl_raw[[#This Row],[Kategori]], tbl_target[Kategori], tbl_target[Target_Margin], 0)</f>
        <v>0.25</v>
      </c>
      <c r="K257" t="s">
        <v>18</v>
      </c>
      <c r="L257" t="s">
        <v>25</v>
      </c>
      <c r="M257">
        <v>14820408</v>
      </c>
    </row>
    <row r="258" spans="1:13" x14ac:dyDescent="0.3">
      <c r="A258" t="s">
        <v>210</v>
      </c>
      <c r="B258" t="s">
        <v>205</v>
      </c>
      <c r="C258" t="s">
        <v>23</v>
      </c>
      <c r="D258" t="s">
        <v>27</v>
      </c>
      <c r="E258">
        <v>20000000</v>
      </c>
      <c r="F258">
        <v>8611597</v>
      </c>
      <c r="G258">
        <v>11388403</v>
      </c>
      <c r="H258" s="5">
        <f>IFERROR((tbl_raw[[#This Row],[Revenue]]-tbl_raw[[#This Row],[COGS]]) / tbl_raw[[#This Row],[Revenue]], 0)</f>
        <v>0.56942015000000001</v>
      </c>
      <c r="I258" s="5" t="str" cm="1">
        <f t="array" ref="I25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58" s="5">
        <f>_xlfn.XLOOKUP(tbl_raw[[#This Row],[Kategori]], tbl_target[Kategori], tbl_target[Target_Margin], 0)</f>
        <v>0.35</v>
      </c>
      <c r="K258" t="s">
        <v>14</v>
      </c>
      <c r="L258" t="s">
        <v>28</v>
      </c>
      <c r="M258">
        <v>17830153</v>
      </c>
    </row>
    <row r="259" spans="1:13" x14ac:dyDescent="0.3">
      <c r="A259" t="s">
        <v>211</v>
      </c>
      <c r="B259" t="s">
        <v>205</v>
      </c>
      <c r="C259" t="s">
        <v>23</v>
      </c>
      <c r="D259" t="s">
        <v>58</v>
      </c>
      <c r="E259">
        <v>5200000</v>
      </c>
      <c r="F259">
        <v>2769039</v>
      </c>
      <c r="G259">
        <v>2430961</v>
      </c>
      <c r="H259" s="5">
        <f>IFERROR((tbl_raw[[#This Row],[Revenue]]-tbl_raw[[#This Row],[COGS]]) / tbl_raw[[#This Row],[Revenue]], 0)</f>
        <v>0.46749249999999998</v>
      </c>
      <c r="I259" s="5" t="str" cm="1">
        <f t="array" ref="I25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59" s="5">
        <f>_xlfn.XLOOKUP(tbl_raw[[#This Row],[Kategori]], tbl_target[Kategori], tbl_target[Target_Margin], 0)</f>
        <v>0.35</v>
      </c>
      <c r="K259" t="s">
        <v>36</v>
      </c>
      <c r="L259" t="s">
        <v>28</v>
      </c>
      <c r="M259">
        <v>4942881</v>
      </c>
    </row>
    <row r="260" spans="1:13" x14ac:dyDescent="0.3">
      <c r="A260" t="s">
        <v>212</v>
      </c>
      <c r="B260" t="s">
        <v>205</v>
      </c>
      <c r="C260" t="s">
        <v>20</v>
      </c>
      <c r="D260" t="s">
        <v>21</v>
      </c>
      <c r="E260">
        <v>7400000</v>
      </c>
      <c r="F260">
        <v>4208290</v>
      </c>
      <c r="G260">
        <v>3191710</v>
      </c>
      <c r="H260" s="5">
        <f>IFERROR((tbl_raw[[#This Row],[Revenue]]-tbl_raw[[#This Row],[COGS]]) / tbl_raw[[#This Row],[Revenue]], 0)</f>
        <v>0.43131216216216217</v>
      </c>
      <c r="I260" s="5" t="str" cm="1">
        <f t="array" ref="I26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60" s="5">
        <f>_xlfn.XLOOKUP(tbl_raw[[#This Row],[Kategori]], tbl_target[Kategori], tbl_target[Target_Margin], 0)</f>
        <v>0.4</v>
      </c>
      <c r="K260" t="s">
        <v>48</v>
      </c>
      <c r="L260" t="s">
        <v>19</v>
      </c>
      <c r="M260">
        <v>8119405</v>
      </c>
    </row>
    <row r="261" spans="1:13" x14ac:dyDescent="0.3">
      <c r="A261" t="s">
        <v>212</v>
      </c>
      <c r="B261" t="s">
        <v>205</v>
      </c>
      <c r="C261" t="s">
        <v>20</v>
      </c>
      <c r="D261" t="s">
        <v>21</v>
      </c>
      <c r="E261">
        <v>15500000</v>
      </c>
      <c r="F261">
        <v>6197933</v>
      </c>
      <c r="G261">
        <v>9302067</v>
      </c>
      <c r="H261" s="5">
        <f>IFERROR((tbl_raw[[#This Row],[Revenue]]-tbl_raw[[#This Row],[COGS]]) / tbl_raw[[#This Row],[Revenue]], 0)</f>
        <v>0.60013335483870967</v>
      </c>
      <c r="I261" s="5" t="str" cm="1">
        <f t="array" ref="I26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61" s="5">
        <f>_xlfn.XLOOKUP(tbl_raw[[#This Row],[Kategori]], tbl_target[Kategori], tbl_target[Target_Margin], 0)</f>
        <v>0.4</v>
      </c>
      <c r="K261" t="s">
        <v>14</v>
      </c>
      <c r="L261" t="s">
        <v>19</v>
      </c>
      <c r="M261">
        <v>15515140</v>
      </c>
    </row>
    <row r="262" spans="1:13" x14ac:dyDescent="0.3">
      <c r="A262" t="s">
        <v>213</v>
      </c>
      <c r="B262" t="s">
        <v>205</v>
      </c>
      <c r="C262" t="s">
        <v>23</v>
      </c>
      <c r="D262" t="s">
        <v>24</v>
      </c>
      <c r="E262">
        <v>7600000</v>
      </c>
      <c r="F262">
        <v>4525869</v>
      </c>
      <c r="G262">
        <v>3074131</v>
      </c>
      <c r="H262" s="5">
        <f>IFERROR((tbl_raw[[#This Row],[Revenue]]-tbl_raw[[#This Row],[COGS]]) / tbl_raw[[#This Row],[Revenue]], 0)</f>
        <v>0.40449092105263157</v>
      </c>
      <c r="I262" s="5" t="str" cm="1">
        <f t="array" ref="I26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62" s="5">
        <f>_xlfn.XLOOKUP(tbl_raw[[#This Row],[Kategori]], tbl_target[Kategori], tbl_target[Target_Margin], 0)</f>
        <v>0.35</v>
      </c>
      <c r="K262" t="s">
        <v>22</v>
      </c>
      <c r="L262" t="s">
        <v>41</v>
      </c>
      <c r="M262">
        <v>9516263</v>
      </c>
    </row>
    <row r="263" spans="1:13" x14ac:dyDescent="0.3">
      <c r="A263" t="s">
        <v>214</v>
      </c>
      <c r="B263" t="s">
        <v>205</v>
      </c>
      <c r="C263" t="s">
        <v>12</v>
      </c>
      <c r="D263" t="s">
        <v>13</v>
      </c>
      <c r="E263">
        <v>9300000</v>
      </c>
      <c r="F263">
        <v>4074279</v>
      </c>
      <c r="G263">
        <v>5225721</v>
      </c>
      <c r="H263" s="5">
        <f>IFERROR((tbl_raw[[#This Row],[Revenue]]-tbl_raw[[#This Row],[COGS]]) / tbl_raw[[#This Row],[Revenue]], 0)</f>
        <v>0.56190548387096773</v>
      </c>
      <c r="I263" s="5" t="str" cm="1">
        <f t="array" ref="I26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63" s="5">
        <f>_xlfn.XLOOKUP(tbl_raw[[#This Row],[Kategori]], tbl_target[Kategori], tbl_target[Target_Margin], 0)</f>
        <v>0.25</v>
      </c>
      <c r="K263" t="s">
        <v>18</v>
      </c>
      <c r="L263" t="s">
        <v>41</v>
      </c>
      <c r="M263">
        <v>11929986</v>
      </c>
    </row>
    <row r="264" spans="1:13" x14ac:dyDescent="0.3">
      <c r="A264" t="s">
        <v>214</v>
      </c>
      <c r="B264" t="s">
        <v>205</v>
      </c>
      <c r="C264" t="s">
        <v>20</v>
      </c>
      <c r="D264" t="s">
        <v>30</v>
      </c>
      <c r="E264">
        <v>18300000</v>
      </c>
      <c r="F264">
        <v>8769068</v>
      </c>
      <c r="G264">
        <v>9530932</v>
      </c>
      <c r="H264" s="5">
        <f>IFERROR((tbl_raw[[#This Row],[Revenue]]-tbl_raw[[#This Row],[COGS]]) / tbl_raw[[#This Row],[Revenue]], 0)</f>
        <v>0.520815956284153</v>
      </c>
      <c r="I264" s="5" t="str" cm="1">
        <f t="array" ref="I26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64" s="5">
        <f>_xlfn.XLOOKUP(tbl_raw[[#This Row],[Kategori]], tbl_target[Kategori], tbl_target[Target_Margin], 0)</f>
        <v>0.4</v>
      </c>
      <c r="K264" t="s">
        <v>36</v>
      </c>
      <c r="L264" t="s">
        <v>28</v>
      </c>
      <c r="M264">
        <v>16231355</v>
      </c>
    </row>
    <row r="265" spans="1:13" x14ac:dyDescent="0.3">
      <c r="A265" t="s">
        <v>214</v>
      </c>
      <c r="B265" t="s">
        <v>205</v>
      </c>
      <c r="C265" t="s">
        <v>20</v>
      </c>
      <c r="D265" t="s">
        <v>21</v>
      </c>
      <c r="E265">
        <v>16100000</v>
      </c>
      <c r="F265">
        <v>8514850</v>
      </c>
      <c r="G265">
        <v>7585150</v>
      </c>
      <c r="H265" s="5">
        <f>IFERROR((tbl_raw[[#This Row],[Revenue]]-tbl_raw[[#This Row],[COGS]]) / tbl_raw[[#This Row],[Revenue]], 0)</f>
        <v>0.47112732919254657</v>
      </c>
      <c r="I265" s="5" t="str" cm="1">
        <f t="array" ref="I26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65" s="5">
        <f>_xlfn.XLOOKUP(tbl_raw[[#This Row],[Kategori]], tbl_target[Kategori], tbl_target[Target_Margin], 0)</f>
        <v>0.4</v>
      </c>
      <c r="K265" t="s">
        <v>36</v>
      </c>
      <c r="L265" t="s">
        <v>41</v>
      </c>
      <c r="M265">
        <v>13817655</v>
      </c>
    </row>
    <row r="266" spans="1:13" x14ac:dyDescent="0.3">
      <c r="A266" t="s">
        <v>215</v>
      </c>
      <c r="B266" t="s">
        <v>205</v>
      </c>
      <c r="C266" t="s">
        <v>20</v>
      </c>
      <c r="D266" t="s">
        <v>40</v>
      </c>
      <c r="E266">
        <v>4700000</v>
      </c>
      <c r="F266">
        <v>2514160</v>
      </c>
      <c r="G266">
        <v>2185840</v>
      </c>
      <c r="H266" s="5">
        <f>IFERROR((tbl_raw[[#This Row],[Revenue]]-tbl_raw[[#This Row],[COGS]]) / tbl_raw[[#This Row],[Revenue]], 0)</f>
        <v>0.46507234042553192</v>
      </c>
      <c r="I266" s="5" t="str" cm="1">
        <f t="array" ref="I26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66" s="5">
        <f>_xlfn.XLOOKUP(tbl_raw[[#This Row],[Kategori]], tbl_target[Kategori], tbl_target[Target_Margin], 0)</f>
        <v>0.4</v>
      </c>
      <c r="K266" t="s">
        <v>18</v>
      </c>
      <c r="L266" t="s">
        <v>41</v>
      </c>
      <c r="M266">
        <v>5367425</v>
      </c>
    </row>
    <row r="267" spans="1:13" x14ac:dyDescent="0.3">
      <c r="A267" t="s">
        <v>216</v>
      </c>
      <c r="B267" t="s">
        <v>205</v>
      </c>
      <c r="C267" t="s">
        <v>23</v>
      </c>
      <c r="D267" t="s">
        <v>58</v>
      </c>
      <c r="E267">
        <v>19400000</v>
      </c>
      <c r="F267">
        <v>6891545</v>
      </c>
      <c r="G267">
        <v>12508455</v>
      </c>
      <c r="H267" s="5">
        <f>IFERROR((tbl_raw[[#This Row],[Revenue]]-tbl_raw[[#This Row],[COGS]]) / tbl_raw[[#This Row],[Revenue]], 0)</f>
        <v>0.64476572164948454</v>
      </c>
      <c r="I267" s="5" t="str" cm="1">
        <f t="array" ref="I26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67" s="5">
        <f>_xlfn.XLOOKUP(tbl_raw[[#This Row],[Kategori]], tbl_target[Kategori], tbl_target[Target_Margin], 0)</f>
        <v>0.35</v>
      </c>
      <c r="K267" t="s">
        <v>48</v>
      </c>
      <c r="L267" t="s">
        <v>49</v>
      </c>
      <c r="M267">
        <v>23332869</v>
      </c>
    </row>
    <row r="268" spans="1:13" x14ac:dyDescent="0.3">
      <c r="A268" t="s">
        <v>217</v>
      </c>
      <c r="B268" t="s">
        <v>205</v>
      </c>
      <c r="C268" t="s">
        <v>12</v>
      </c>
      <c r="D268" t="s">
        <v>17</v>
      </c>
      <c r="E268">
        <v>19700000</v>
      </c>
      <c r="F268">
        <v>9021964</v>
      </c>
      <c r="G268">
        <v>10678036</v>
      </c>
      <c r="H268" s="5">
        <f>IFERROR((tbl_raw[[#This Row],[Revenue]]-tbl_raw[[#This Row],[COGS]]) / tbl_raw[[#This Row],[Revenue]], 0)</f>
        <v>0.54203228426395944</v>
      </c>
      <c r="I268" s="5" t="str" cm="1">
        <f t="array" ref="I26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68" s="5">
        <f>_xlfn.XLOOKUP(tbl_raw[[#This Row],[Kategori]], tbl_target[Kategori], tbl_target[Target_Margin], 0)</f>
        <v>0.25</v>
      </c>
      <c r="K268" t="s">
        <v>36</v>
      </c>
      <c r="L268" t="s">
        <v>49</v>
      </c>
      <c r="M268">
        <v>24336086</v>
      </c>
    </row>
    <row r="269" spans="1:13" x14ac:dyDescent="0.3">
      <c r="A269" t="s">
        <v>218</v>
      </c>
      <c r="B269" t="s">
        <v>205</v>
      </c>
      <c r="C269" t="s">
        <v>23</v>
      </c>
      <c r="D269" t="s">
        <v>58</v>
      </c>
      <c r="E269">
        <v>13900000</v>
      </c>
      <c r="F269">
        <v>7209347</v>
      </c>
      <c r="G269">
        <v>6690653</v>
      </c>
      <c r="H269" s="5">
        <f>IFERROR((tbl_raw[[#This Row],[Revenue]]-tbl_raw[[#This Row],[COGS]]) / tbl_raw[[#This Row],[Revenue]], 0)</f>
        <v>0.48134194244604317</v>
      </c>
      <c r="I269" s="5" t="str" cm="1">
        <f t="array" ref="I26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69" s="5">
        <f>_xlfn.XLOOKUP(tbl_raw[[#This Row],[Kategori]], tbl_target[Kategori], tbl_target[Target_Margin], 0)</f>
        <v>0.35</v>
      </c>
      <c r="K269" t="s">
        <v>48</v>
      </c>
      <c r="L269" t="s">
        <v>25</v>
      </c>
      <c r="M269">
        <v>12946453</v>
      </c>
    </row>
    <row r="270" spans="1:13" x14ac:dyDescent="0.3">
      <c r="A270" t="s">
        <v>219</v>
      </c>
      <c r="B270" t="s">
        <v>205</v>
      </c>
      <c r="C270" t="s">
        <v>20</v>
      </c>
      <c r="D270" t="s">
        <v>21</v>
      </c>
      <c r="E270">
        <v>1100000</v>
      </c>
      <c r="F270">
        <v>458052</v>
      </c>
      <c r="G270">
        <v>641948</v>
      </c>
      <c r="H270" s="5">
        <f>IFERROR((tbl_raw[[#This Row],[Revenue]]-tbl_raw[[#This Row],[COGS]]) / tbl_raw[[#This Row],[Revenue]], 0)</f>
        <v>0.58358909090909095</v>
      </c>
      <c r="I270" s="5" t="str" cm="1">
        <f t="array" ref="I27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70" s="5">
        <f>_xlfn.XLOOKUP(tbl_raw[[#This Row],[Kategori]], tbl_target[Kategori], tbl_target[Target_Margin], 0)</f>
        <v>0.4</v>
      </c>
      <c r="K270" t="s">
        <v>48</v>
      </c>
      <c r="L270" t="s">
        <v>31</v>
      </c>
      <c r="M270">
        <v>1161435</v>
      </c>
    </row>
    <row r="271" spans="1:13" x14ac:dyDescent="0.3">
      <c r="A271" t="s">
        <v>220</v>
      </c>
      <c r="B271" t="s">
        <v>205</v>
      </c>
      <c r="C271" t="s">
        <v>20</v>
      </c>
      <c r="D271" t="s">
        <v>21</v>
      </c>
      <c r="E271">
        <v>13500000</v>
      </c>
      <c r="F271">
        <v>6035916</v>
      </c>
      <c r="G271">
        <v>7464084</v>
      </c>
      <c r="H271" s="5">
        <f>IFERROR((tbl_raw[[#This Row],[Revenue]]-tbl_raw[[#This Row],[COGS]]) / tbl_raw[[#This Row],[Revenue]], 0)</f>
        <v>0.55289511111111111</v>
      </c>
      <c r="I271" s="5" t="str" cm="1">
        <f t="array" ref="I27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71" s="5">
        <f>_xlfn.XLOOKUP(tbl_raw[[#This Row],[Kategori]], tbl_target[Kategori], tbl_target[Target_Margin], 0)</f>
        <v>0.4</v>
      </c>
      <c r="K271" t="s">
        <v>14</v>
      </c>
      <c r="L271" t="s">
        <v>28</v>
      </c>
      <c r="M271">
        <v>16435050</v>
      </c>
    </row>
    <row r="272" spans="1:13" x14ac:dyDescent="0.3">
      <c r="A272" t="s">
        <v>220</v>
      </c>
      <c r="B272" t="s">
        <v>205</v>
      </c>
      <c r="C272" t="s">
        <v>20</v>
      </c>
      <c r="D272" t="s">
        <v>21</v>
      </c>
      <c r="E272">
        <v>14100000</v>
      </c>
      <c r="F272">
        <v>7390824</v>
      </c>
      <c r="G272">
        <v>6709176</v>
      </c>
      <c r="H272" s="5">
        <f>IFERROR((tbl_raw[[#This Row],[Revenue]]-tbl_raw[[#This Row],[COGS]]) / tbl_raw[[#This Row],[Revenue]], 0)</f>
        <v>0.47582808510638297</v>
      </c>
      <c r="I272" s="5" t="str" cm="1">
        <f t="array" ref="I27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72" s="5">
        <f>_xlfn.XLOOKUP(tbl_raw[[#This Row],[Kategori]], tbl_target[Kategori], tbl_target[Target_Margin], 0)</f>
        <v>0.4</v>
      </c>
      <c r="K272" t="s">
        <v>22</v>
      </c>
      <c r="L272" t="s">
        <v>34</v>
      </c>
      <c r="M272">
        <v>12887062</v>
      </c>
    </row>
    <row r="273" spans="1:13" x14ac:dyDescent="0.3">
      <c r="A273" t="s">
        <v>221</v>
      </c>
      <c r="B273" t="s">
        <v>222</v>
      </c>
      <c r="C273" t="s">
        <v>12</v>
      </c>
      <c r="D273" t="s">
        <v>13</v>
      </c>
      <c r="E273">
        <v>4300000</v>
      </c>
      <c r="F273">
        <v>1763645</v>
      </c>
      <c r="G273">
        <v>2536355</v>
      </c>
      <c r="H273" s="5">
        <f>IFERROR((tbl_raw[[#This Row],[Revenue]]-tbl_raw[[#This Row],[COGS]]) / tbl_raw[[#This Row],[Revenue]], 0)</f>
        <v>0.58984999999999999</v>
      </c>
      <c r="I273" s="5" t="str" cm="1">
        <f t="array" ref="I27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73" s="5">
        <f>_xlfn.XLOOKUP(tbl_raw[[#This Row],[Kategori]], tbl_target[Kategori], tbl_target[Target_Margin], 0)</f>
        <v>0.25</v>
      </c>
      <c r="K273" t="s">
        <v>18</v>
      </c>
      <c r="L273" t="s">
        <v>28</v>
      </c>
      <c r="M273">
        <v>5152009</v>
      </c>
    </row>
    <row r="274" spans="1:13" x14ac:dyDescent="0.3">
      <c r="A274" t="s">
        <v>221</v>
      </c>
      <c r="B274" t="s">
        <v>222</v>
      </c>
      <c r="C274" t="s">
        <v>23</v>
      </c>
      <c r="D274" t="s">
        <v>24</v>
      </c>
      <c r="E274">
        <v>9500000</v>
      </c>
      <c r="F274">
        <v>3869676</v>
      </c>
      <c r="G274">
        <v>5630324</v>
      </c>
      <c r="H274" s="5">
        <f>IFERROR((tbl_raw[[#This Row],[Revenue]]-tbl_raw[[#This Row],[COGS]]) / tbl_raw[[#This Row],[Revenue]], 0)</f>
        <v>0.59266568421052634</v>
      </c>
      <c r="I274" s="5" t="str" cm="1">
        <f t="array" ref="I27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74" s="5">
        <f>_xlfn.XLOOKUP(tbl_raw[[#This Row],[Kategori]], tbl_target[Kategori], tbl_target[Target_Margin], 0)</f>
        <v>0.35</v>
      </c>
      <c r="K274" t="s">
        <v>22</v>
      </c>
      <c r="L274" t="s">
        <v>34</v>
      </c>
      <c r="M274">
        <v>8160091</v>
      </c>
    </row>
    <row r="275" spans="1:13" x14ac:dyDescent="0.3">
      <c r="A275" t="s">
        <v>223</v>
      </c>
      <c r="B275" t="s">
        <v>222</v>
      </c>
      <c r="C275" t="s">
        <v>20</v>
      </c>
      <c r="D275" t="s">
        <v>21</v>
      </c>
      <c r="E275">
        <v>13800000</v>
      </c>
      <c r="F275">
        <v>5709098</v>
      </c>
      <c r="G275">
        <v>8090902</v>
      </c>
      <c r="H275" s="5">
        <f>IFERROR((tbl_raw[[#This Row],[Revenue]]-tbl_raw[[#This Row],[COGS]]) / tbl_raw[[#This Row],[Revenue]], 0)</f>
        <v>0.58629724637681158</v>
      </c>
      <c r="I275" s="5" t="str" cm="1">
        <f t="array" ref="I27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75" s="5">
        <f>_xlfn.XLOOKUP(tbl_raw[[#This Row],[Kategori]], tbl_target[Kategori], tbl_target[Target_Margin], 0)</f>
        <v>0.4</v>
      </c>
      <c r="K275" t="s">
        <v>14</v>
      </c>
      <c r="L275" t="s">
        <v>28</v>
      </c>
      <c r="M275">
        <v>11721958</v>
      </c>
    </row>
    <row r="276" spans="1:13" x14ac:dyDescent="0.3">
      <c r="A276" t="s">
        <v>223</v>
      </c>
      <c r="B276" t="s">
        <v>222</v>
      </c>
      <c r="C276" t="s">
        <v>12</v>
      </c>
      <c r="D276" t="s">
        <v>17</v>
      </c>
      <c r="E276">
        <v>13900000</v>
      </c>
      <c r="F276">
        <v>6231277</v>
      </c>
      <c r="G276">
        <v>7668723</v>
      </c>
      <c r="H276" s="5">
        <f>IFERROR((tbl_raw[[#This Row],[Revenue]]-tbl_raw[[#This Row],[COGS]]) / tbl_raw[[#This Row],[Revenue]], 0)</f>
        <v>0.55170669064748201</v>
      </c>
      <c r="I276" s="5" t="str" cm="1">
        <f t="array" ref="I27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76" s="5">
        <f>_xlfn.XLOOKUP(tbl_raw[[#This Row],[Kategori]], tbl_target[Kategori], tbl_target[Target_Margin], 0)</f>
        <v>0.25</v>
      </c>
      <c r="K276" t="s">
        <v>48</v>
      </c>
      <c r="L276" t="s">
        <v>15</v>
      </c>
      <c r="M276">
        <v>15245484</v>
      </c>
    </row>
    <row r="277" spans="1:13" x14ac:dyDescent="0.3">
      <c r="A277" t="s">
        <v>224</v>
      </c>
      <c r="B277" t="s">
        <v>222</v>
      </c>
      <c r="C277" t="s">
        <v>23</v>
      </c>
      <c r="D277" t="s">
        <v>27</v>
      </c>
      <c r="E277">
        <v>9800000</v>
      </c>
      <c r="F277">
        <v>3944955</v>
      </c>
      <c r="G277">
        <v>5855045</v>
      </c>
      <c r="H277" s="5">
        <f>IFERROR((tbl_raw[[#This Row],[Revenue]]-tbl_raw[[#This Row],[COGS]]) / tbl_raw[[#This Row],[Revenue]], 0)</f>
        <v>0.59745357142857147</v>
      </c>
      <c r="I277" s="5" t="str" cm="1">
        <f t="array" ref="I27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77" s="5">
        <f>_xlfn.XLOOKUP(tbl_raw[[#This Row],[Kategori]], tbl_target[Kategori], tbl_target[Target_Margin], 0)</f>
        <v>0.35</v>
      </c>
      <c r="K277" t="s">
        <v>18</v>
      </c>
      <c r="L277" t="s">
        <v>28</v>
      </c>
      <c r="M277">
        <v>9347144</v>
      </c>
    </row>
    <row r="278" spans="1:13" x14ac:dyDescent="0.3">
      <c r="A278" t="s">
        <v>225</v>
      </c>
      <c r="B278" t="s">
        <v>222</v>
      </c>
      <c r="C278" t="s">
        <v>23</v>
      </c>
      <c r="D278" t="s">
        <v>24</v>
      </c>
      <c r="E278">
        <v>14900000</v>
      </c>
      <c r="F278">
        <v>7001975</v>
      </c>
      <c r="G278">
        <v>7898025</v>
      </c>
      <c r="H278" s="5">
        <f>IFERROR((tbl_raw[[#This Row],[Revenue]]-tbl_raw[[#This Row],[COGS]]) / tbl_raw[[#This Row],[Revenue]], 0)</f>
        <v>0.53006879194630874</v>
      </c>
      <c r="I278" s="5" t="str" cm="1">
        <f t="array" ref="I27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78" s="5">
        <f>_xlfn.XLOOKUP(tbl_raw[[#This Row],[Kategori]], tbl_target[Kategori], tbl_target[Target_Margin], 0)</f>
        <v>0.35</v>
      </c>
      <c r="K278" t="s">
        <v>48</v>
      </c>
      <c r="L278" t="s">
        <v>25</v>
      </c>
      <c r="M278">
        <v>17369183</v>
      </c>
    </row>
    <row r="279" spans="1:13" x14ac:dyDescent="0.3">
      <c r="A279" t="s">
        <v>226</v>
      </c>
      <c r="B279" t="s">
        <v>222</v>
      </c>
      <c r="C279" t="s">
        <v>12</v>
      </c>
      <c r="D279" t="s">
        <v>32</v>
      </c>
      <c r="E279">
        <v>8500000</v>
      </c>
      <c r="F279">
        <v>4260138</v>
      </c>
      <c r="G279">
        <v>4239862</v>
      </c>
      <c r="H279" s="5">
        <f>IFERROR((tbl_raw[[#This Row],[Revenue]]-tbl_raw[[#This Row],[COGS]]) / tbl_raw[[#This Row],[Revenue]], 0)</f>
        <v>0.49880729411764707</v>
      </c>
      <c r="I279" s="5" t="str" cm="1">
        <f t="array" ref="I27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79" s="5">
        <f>_xlfn.XLOOKUP(tbl_raw[[#This Row],[Kategori]], tbl_target[Kategori], tbl_target[Target_Margin], 0)</f>
        <v>0.25</v>
      </c>
      <c r="K279" t="s">
        <v>48</v>
      </c>
      <c r="L279" t="s">
        <v>31</v>
      </c>
      <c r="M279">
        <v>9079318</v>
      </c>
    </row>
    <row r="280" spans="1:13" x14ac:dyDescent="0.3">
      <c r="A280" t="s">
        <v>227</v>
      </c>
      <c r="B280" t="s">
        <v>222</v>
      </c>
      <c r="C280" t="s">
        <v>12</v>
      </c>
      <c r="D280" t="s">
        <v>13</v>
      </c>
      <c r="E280">
        <v>13500000</v>
      </c>
      <c r="F280">
        <v>5834800</v>
      </c>
      <c r="G280">
        <v>7665200</v>
      </c>
      <c r="H280" s="5">
        <f>IFERROR((tbl_raw[[#This Row],[Revenue]]-tbl_raw[[#This Row],[COGS]]) / tbl_raw[[#This Row],[Revenue]], 0)</f>
        <v>0.56779259259259263</v>
      </c>
      <c r="I280" s="5" t="str" cm="1">
        <f t="array" ref="I28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80" s="5">
        <f>_xlfn.XLOOKUP(tbl_raw[[#This Row],[Kategori]], tbl_target[Kategori], tbl_target[Target_Margin], 0)</f>
        <v>0.25</v>
      </c>
      <c r="K280" t="s">
        <v>18</v>
      </c>
      <c r="L280" t="s">
        <v>19</v>
      </c>
      <c r="M280">
        <v>15302104</v>
      </c>
    </row>
    <row r="281" spans="1:13" x14ac:dyDescent="0.3">
      <c r="A281" t="s">
        <v>228</v>
      </c>
      <c r="B281" t="s">
        <v>222</v>
      </c>
      <c r="C281" t="s">
        <v>23</v>
      </c>
      <c r="D281" t="s">
        <v>58</v>
      </c>
      <c r="E281">
        <v>6900000</v>
      </c>
      <c r="F281">
        <v>3450223</v>
      </c>
      <c r="G281">
        <v>3449777</v>
      </c>
      <c r="H281" s="5">
        <f>IFERROR((tbl_raw[[#This Row],[Revenue]]-tbl_raw[[#This Row],[COGS]]) / tbl_raw[[#This Row],[Revenue]], 0)</f>
        <v>0.49996768115942031</v>
      </c>
      <c r="I281" s="5" t="str" cm="1">
        <f t="array" ref="I28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81" s="5">
        <f>_xlfn.XLOOKUP(tbl_raw[[#This Row],[Kategori]], tbl_target[Kategori], tbl_target[Target_Margin], 0)</f>
        <v>0.35</v>
      </c>
      <c r="K281" t="s">
        <v>36</v>
      </c>
      <c r="L281" t="s">
        <v>49</v>
      </c>
      <c r="M281">
        <v>7681552</v>
      </c>
    </row>
    <row r="282" spans="1:13" x14ac:dyDescent="0.3">
      <c r="A282" t="s">
        <v>228</v>
      </c>
      <c r="B282" t="s">
        <v>222</v>
      </c>
      <c r="C282" t="s">
        <v>12</v>
      </c>
      <c r="D282" t="s">
        <v>32</v>
      </c>
      <c r="E282">
        <v>12300000</v>
      </c>
      <c r="F282">
        <v>6304263</v>
      </c>
      <c r="G282">
        <v>5995737</v>
      </c>
      <c r="H282" s="5">
        <f>IFERROR((tbl_raw[[#This Row],[Revenue]]-tbl_raw[[#This Row],[COGS]]) / tbl_raw[[#This Row],[Revenue]], 0)</f>
        <v>0.48745829268292684</v>
      </c>
      <c r="I282" s="5" t="str" cm="1">
        <f t="array" ref="I28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82" s="5">
        <f>_xlfn.XLOOKUP(tbl_raw[[#This Row],[Kategori]], tbl_target[Kategori], tbl_target[Target_Margin], 0)</f>
        <v>0.25</v>
      </c>
      <c r="K282" t="s">
        <v>18</v>
      </c>
      <c r="L282" t="s">
        <v>28</v>
      </c>
      <c r="M282">
        <v>15908075</v>
      </c>
    </row>
    <row r="283" spans="1:13" x14ac:dyDescent="0.3">
      <c r="A283" t="s">
        <v>228</v>
      </c>
      <c r="B283" t="s">
        <v>222</v>
      </c>
      <c r="C283" t="s">
        <v>23</v>
      </c>
      <c r="D283" t="s">
        <v>24</v>
      </c>
      <c r="E283">
        <v>5100000</v>
      </c>
      <c r="F283">
        <v>2317784</v>
      </c>
      <c r="G283">
        <v>2782216</v>
      </c>
      <c r="H283" s="5">
        <f>IFERROR((tbl_raw[[#This Row],[Revenue]]-tbl_raw[[#This Row],[COGS]]) / tbl_raw[[#This Row],[Revenue]], 0)</f>
        <v>0.54553254901960779</v>
      </c>
      <c r="I283" s="5" t="str" cm="1">
        <f t="array" ref="I28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83" s="5">
        <f>_xlfn.XLOOKUP(tbl_raw[[#This Row],[Kategori]], tbl_target[Kategori], tbl_target[Target_Margin], 0)</f>
        <v>0.35</v>
      </c>
      <c r="K283" t="s">
        <v>18</v>
      </c>
      <c r="L283" t="s">
        <v>19</v>
      </c>
      <c r="M283">
        <v>6045692</v>
      </c>
    </row>
    <row r="284" spans="1:13" x14ac:dyDescent="0.3">
      <c r="A284" t="s">
        <v>229</v>
      </c>
      <c r="B284" t="s">
        <v>222</v>
      </c>
      <c r="C284" t="s">
        <v>12</v>
      </c>
      <c r="D284" t="s">
        <v>13</v>
      </c>
      <c r="E284">
        <v>11300000</v>
      </c>
      <c r="F284">
        <v>5846859</v>
      </c>
      <c r="G284">
        <v>5453141</v>
      </c>
      <c r="H284" s="5">
        <f>IFERROR((tbl_raw[[#This Row],[Revenue]]-tbl_raw[[#This Row],[COGS]]) / tbl_raw[[#This Row],[Revenue]], 0)</f>
        <v>0.48257884955752212</v>
      </c>
      <c r="I284" s="5" t="str" cm="1">
        <f t="array" ref="I28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84" s="5">
        <f>_xlfn.XLOOKUP(tbl_raw[[#This Row],[Kategori]], tbl_target[Kategori], tbl_target[Target_Margin], 0)</f>
        <v>0.25</v>
      </c>
      <c r="K284" t="s">
        <v>14</v>
      </c>
      <c r="L284" t="s">
        <v>15</v>
      </c>
      <c r="M284">
        <v>10104193</v>
      </c>
    </row>
    <row r="285" spans="1:13" x14ac:dyDescent="0.3">
      <c r="A285" t="s">
        <v>230</v>
      </c>
      <c r="B285" t="s">
        <v>222</v>
      </c>
      <c r="C285" t="s">
        <v>12</v>
      </c>
      <c r="D285" t="s">
        <v>17</v>
      </c>
      <c r="E285">
        <v>4000000</v>
      </c>
      <c r="F285">
        <v>1892711</v>
      </c>
      <c r="G285">
        <v>2107289</v>
      </c>
      <c r="H285" s="5">
        <f>IFERROR((tbl_raw[[#This Row],[Revenue]]-tbl_raw[[#This Row],[COGS]]) / tbl_raw[[#This Row],[Revenue]], 0)</f>
        <v>0.52682225000000005</v>
      </c>
      <c r="I285" s="5" t="str" cm="1">
        <f t="array" ref="I28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85" s="5">
        <f>_xlfn.XLOOKUP(tbl_raw[[#This Row],[Kategori]], tbl_target[Kategori], tbl_target[Target_Margin], 0)</f>
        <v>0.25</v>
      </c>
      <c r="K285" t="s">
        <v>18</v>
      </c>
      <c r="L285" t="s">
        <v>28</v>
      </c>
      <c r="M285">
        <v>3875781</v>
      </c>
    </row>
    <row r="286" spans="1:13" x14ac:dyDescent="0.3">
      <c r="A286" t="s">
        <v>231</v>
      </c>
      <c r="B286" t="s">
        <v>222</v>
      </c>
      <c r="C286" t="s">
        <v>23</v>
      </c>
      <c r="D286" t="s">
        <v>27</v>
      </c>
      <c r="E286">
        <v>9500000</v>
      </c>
      <c r="F286">
        <v>3746146</v>
      </c>
      <c r="G286">
        <v>5753854</v>
      </c>
      <c r="H286" s="5">
        <f>IFERROR((tbl_raw[[#This Row],[Revenue]]-tbl_raw[[#This Row],[COGS]]) / tbl_raw[[#This Row],[Revenue]], 0)</f>
        <v>0.60566884210526317</v>
      </c>
      <c r="I286" s="5" t="str" cm="1">
        <f t="array" ref="I28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86" s="5">
        <f>_xlfn.XLOOKUP(tbl_raw[[#This Row],[Kategori]], tbl_target[Kategori], tbl_target[Target_Margin], 0)</f>
        <v>0.35</v>
      </c>
      <c r="K286" t="s">
        <v>14</v>
      </c>
      <c r="L286" t="s">
        <v>31</v>
      </c>
      <c r="M286">
        <v>9418928</v>
      </c>
    </row>
    <row r="287" spans="1:13" x14ac:dyDescent="0.3">
      <c r="A287" t="s">
        <v>231</v>
      </c>
      <c r="B287" t="s">
        <v>222</v>
      </c>
      <c r="C287" t="s">
        <v>12</v>
      </c>
      <c r="D287" t="s">
        <v>32</v>
      </c>
      <c r="E287">
        <v>13800000</v>
      </c>
      <c r="F287">
        <v>6640532</v>
      </c>
      <c r="G287">
        <v>7159468</v>
      </c>
      <c r="H287" s="5">
        <f>IFERROR((tbl_raw[[#This Row],[Revenue]]-tbl_raw[[#This Row],[COGS]]) / tbl_raw[[#This Row],[Revenue]], 0)</f>
        <v>0.5188020289855072</v>
      </c>
      <c r="I287" s="5" t="str" cm="1">
        <f t="array" ref="I28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87" s="5">
        <f>_xlfn.XLOOKUP(tbl_raw[[#This Row],[Kategori]], tbl_target[Kategori], tbl_target[Target_Margin], 0)</f>
        <v>0.25</v>
      </c>
      <c r="K287" t="s">
        <v>14</v>
      </c>
      <c r="L287" t="s">
        <v>41</v>
      </c>
      <c r="M287">
        <v>13683166</v>
      </c>
    </row>
    <row r="288" spans="1:13" x14ac:dyDescent="0.3">
      <c r="A288" t="s">
        <v>232</v>
      </c>
      <c r="B288" t="s">
        <v>222</v>
      </c>
      <c r="C288" t="s">
        <v>20</v>
      </c>
      <c r="D288" t="s">
        <v>21</v>
      </c>
      <c r="E288">
        <v>7700000</v>
      </c>
      <c r="F288">
        <v>4341853</v>
      </c>
      <c r="G288">
        <v>3358147</v>
      </c>
      <c r="H288" s="5">
        <f>IFERROR((tbl_raw[[#This Row],[Revenue]]-tbl_raw[[#This Row],[COGS]]) / tbl_raw[[#This Row],[Revenue]], 0)</f>
        <v>0.43612298701298702</v>
      </c>
      <c r="I288" s="5" t="str" cm="1">
        <f t="array" ref="I28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88" s="5">
        <f>_xlfn.XLOOKUP(tbl_raw[[#This Row],[Kategori]], tbl_target[Kategori], tbl_target[Target_Margin], 0)</f>
        <v>0.4</v>
      </c>
      <c r="K288" t="s">
        <v>22</v>
      </c>
      <c r="L288" t="s">
        <v>34</v>
      </c>
      <c r="M288">
        <v>7166771</v>
      </c>
    </row>
    <row r="289" spans="1:13" x14ac:dyDescent="0.3">
      <c r="A289" t="s">
        <v>232</v>
      </c>
      <c r="B289" t="s">
        <v>222</v>
      </c>
      <c r="C289" t="s">
        <v>12</v>
      </c>
      <c r="D289" t="s">
        <v>17</v>
      </c>
      <c r="E289">
        <v>6400000</v>
      </c>
      <c r="F289">
        <v>2592700</v>
      </c>
      <c r="G289">
        <v>3807300</v>
      </c>
      <c r="H289" s="5">
        <f>IFERROR((tbl_raw[[#This Row],[Revenue]]-tbl_raw[[#This Row],[COGS]]) / tbl_raw[[#This Row],[Revenue]], 0)</f>
        <v>0.59489062500000001</v>
      </c>
      <c r="I289" s="5" t="str" cm="1">
        <f t="array" ref="I28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89" s="5">
        <f>_xlfn.XLOOKUP(tbl_raw[[#This Row],[Kategori]], tbl_target[Kategori], tbl_target[Target_Margin], 0)</f>
        <v>0.25</v>
      </c>
      <c r="K289" t="s">
        <v>18</v>
      </c>
      <c r="L289" t="s">
        <v>19</v>
      </c>
      <c r="M289">
        <v>7051716</v>
      </c>
    </row>
    <row r="290" spans="1:13" x14ac:dyDescent="0.3">
      <c r="A290" t="s">
        <v>232</v>
      </c>
      <c r="B290" t="s">
        <v>222</v>
      </c>
      <c r="C290" t="s">
        <v>12</v>
      </c>
      <c r="D290" t="s">
        <v>17</v>
      </c>
      <c r="E290">
        <v>13700000</v>
      </c>
      <c r="F290">
        <v>6800752</v>
      </c>
      <c r="G290">
        <v>6899248</v>
      </c>
      <c r="H290" s="5">
        <f>IFERROR((tbl_raw[[#This Row],[Revenue]]-tbl_raw[[#This Row],[COGS]]) / tbl_raw[[#This Row],[Revenue]], 0)</f>
        <v>0.50359474452554742</v>
      </c>
      <c r="I290" s="5" t="str" cm="1">
        <f t="array" ref="I29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90" s="5">
        <f>_xlfn.XLOOKUP(tbl_raw[[#This Row],[Kategori]], tbl_target[Kategori], tbl_target[Target_Margin], 0)</f>
        <v>0.25</v>
      </c>
      <c r="K290" t="s">
        <v>36</v>
      </c>
      <c r="L290" t="s">
        <v>34</v>
      </c>
      <c r="M290">
        <v>17012201</v>
      </c>
    </row>
    <row r="291" spans="1:13" x14ac:dyDescent="0.3">
      <c r="A291" t="s">
        <v>232</v>
      </c>
      <c r="B291" t="s">
        <v>222</v>
      </c>
      <c r="C291" t="s">
        <v>12</v>
      </c>
      <c r="D291" t="s">
        <v>17</v>
      </c>
      <c r="E291">
        <v>10900000</v>
      </c>
      <c r="F291">
        <v>5420897</v>
      </c>
      <c r="G291">
        <v>5479103</v>
      </c>
      <c r="H291" s="5">
        <f>IFERROR((tbl_raw[[#This Row],[Revenue]]-tbl_raw[[#This Row],[COGS]]) / tbl_raw[[#This Row],[Revenue]], 0)</f>
        <v>0.50266999999999995</v>
      </c>
      <c r="I291" s="5" t="str" cm="1">
        <f t="array" ref="I29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91" s="5">
        <f>_xlfn.XLOOKUP(tbl_raw[[#This Row],[Kategori]], tbl_target[Kategori], tbl_target[Target_Margin], 0)</f>
        <v>0.25</v>
      </c>
      <c r="K291" t="s">
        <v>22</v>
      </c>
      <c r="L291" t="s">
        <v>41</v>
      </c>
      <c r="M291">
        <v>13979717</v>
      </c>
    </row>
    <row r="292" spans="1:13" x14ac:dyDescent="0.3">
      <c r="A292" t="s">
        <v>233</v>
      </c>
      <c r="B292" t="s">
        <v>222</v>
      </c>
      <c r="C292" t="s">
        <v>12</v>
      </c>
      <c r="D292" t="s">
        <v>13</v>
      </c>
      <c r="E292">
        <v>2400000</v>
      </c>
      <c r="F292">
        <v>930346</v>
      </c>
      <c r="G292">
        <v>1469654</v>
      </c>
      <c r="H292" s="5">
        <f>IFERROR((tbl_raw[[#This Row],[Revenue]]-tbl_raw[[#This Row],[COGS]]) / tbl_raw[[#This Row],[Revenue]], 0)</f>
        <v>0.61235583333333332</v>
      </c>
      <c r="I292" s="5" t="str" cm="1">
        <f t="array" ref="I29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92" s="5">
        <f>_xlfn.XLOOKUP(tbl_raw[[#This Row],[Kategori]], tbl_target[Kategori], tbl_target[Target_Margin], 0)</f>
        <v>0.25</v>
      </c>
      <c r="K292" t="s">
        <v>18</v>
      </c>
      <c r="L292" t="s">
        <v>49</v>
      </c>
      <c r="M292">
        <v>2909228</v>
      </c>
    </row>
    <row r="293" spans="1:13" x14ac:dyDescent="0.3">
      <c r="A293" t="s">
        <v>233</v>
      </c>
      <c r="B293" t="s">
        <v>222</v>
      </c>
      <c r="C293" t="s">
        <v>12</v>
      </c>
      <c r="D293" t="s">
        <v>13</v>
      </c>
      <c r="E293">
        <v>7500000</v>
      </c>
      <c r="F293">
        <v>3547562</v>
      </c>
      <c r="G293">
        <v>3952438</v>
      </c>
      <c r="H293" s="5">
        <f>IFERROR((tbl_raw[[#This Row],[Revenue]]-tbl_raw[[#This Row],[COGS]]) / tbl_raw[[#This Row],[Revenue]], 0)</f>
        <v>0.52699173333333338</v>
      </c>
      <c r="I293" s="5" t="str" cm="1">
        <f t="array" ref="I29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93" s="5">
        <f>_xlfn.XLOOKUP(tbl_raw[[#This Row],[Kategori]], tbl_target[Kategori], tbl_target[Target_Margin], 0)</f>
        <v>0.25</v>
      </c>
      <c r="K293" t="s">
        <v>36</v>
      </c>
      <c r="L293" t="s">
        <v>15</v>
      </c>
      <c r="M293">
        <v>6748104</v>
      </c>
    </row>
    <row r="294" spans="1:13" x14ac:dyDescent="0.3">
      <c r="A294" t="s">
        <v>234</v>
      </c>
      <c r="B294" t="s">
        <v>222</v>
      </c>
      <c r="C294" t="s">
        <v>20</v>
      </c>
      <c r="D294" t="s">
        <v>21</v>
      </c>
      <c r="E294">
        <v>11300000</v>
      </c>
      <c r="F294">
        <v>6483154</v>
      </c>
      <c r="G294">
        <v>4816846</v>
      </c>
      <c r="H294" s="5">
        <f>IFERROR((tbl_raw[[#This Row],[Revenue]]-tbl_raw[[#This Row],[COGS]]) / tbl_raw[[#This Row],[Revenue]], 0)</f>
        <v>0.42626955752212392</v>
      </c>
      <c r="I294" s="5" t="str" cm="1">
        <f t="array" ref="I29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94" s="5">
        <f>_xlfn.XLOOKUP(tbl_raw[[#This Row],[Kategori]], tbl_target[Kategori], tbl_target[Target_Margin], 0)</f>
        <v>0.4</v>
      </c>
      <c r="K294" t="s">
        <v>48</v>
      </c>
      <c r="L294" t="s">
        <v>31</v>
      </c>
      <c r="M294">
        <v>10374785</v>
      </c>
    </row>
    <row r="295" spans="1:13" x14ac:dyDescent="0.3">
      <c r="A295" t="s">
        <v>235</v>
      </c>
      <c r="B295" t="s">
        <v>222</v>
      </c>
      <c r="C295" t="s">
        <v>12</v>
      </c>
      <c r="D295" t="s">
        <v>13</v>
      </c>
      <c r="E295">
        <v>5100000</v>
      </c>
      <c r="F295">
        <v>2977076</v>
      </c>
      <c r="G295">
        <v>2122924</v>
      </c>
      <c r="H295" s="5">
        <f>IFERROR((tbl_raw[[#This Row],[Revenue]]-tbl_raw[[#This Row],[COGS]]) / tbl_raw[[#This Row],[Revenue]], 0)</f>
        <v>0.41625960784313726</v>
      </c>
      <c r="I295" s="5" t="str" cm="1">
        <f t="array" ref="I29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95" s="5">
        <f>_xlfn.XLOOKUP(tbl_raw[[#This Row],[Kategori]], tbl_target[Kategori], tbl_target[Target_Margin], 0)</f>
        <v>0.25</v>
      </c>
      <c r="K295" t="s">
        <v>36</v>
      </c>
      <c r="L295" t="s">
        <v>28</v>
      </c>
      <c r="M295">
        <v>5902364</v>
      </c>
    </row>
    <row r="296" spans="1:13" x14ac:dyDescent="0.3">
      <c r="A296" t="s">
        <v>236</v>
      </c>
      <c r="B296" t="s">
        <v>222</v>
      </c>
      <c r="C296" t="s">
        <v>20</v>
      </c>
      <c r="D296" t="s">
        <v>40</v>
      </c>
      <c r="E296">
        <v>14000000</v>
      </c>
      <c r="F296">
        <v>6668257</v>
      </c>
      <c r="G296">
        <v>7331743</v>
      </c>
      <c r="H296" s="5">
        <f>IFERROR((tbl_raw[[#This Row],[Revenue]]-tbl_raw[[#This Row],[COGS]]) / tbl_raw[[#This Row],[Revenue]], 0)</f>
        <v>0.52369592857142855</v>
      </c>
      <c r="I296" s="5" t="str" cm="1">
        <f t="array" ref="I29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96" s="5">
        <f>_xlfn.XLOOKUP(tbl_raw[[#This Row],[Kategori]], tbl_target[Kategori], tbl_target[Target_Margin], 0)</f>
        <v>0.4</v>
      </c>
      <c r="K296" t="s">
        <v>48</v>
      </c>
      <c r="L296" t="s">
        <v>31</v>
      </c>
      <c r="M296">
        <v>17626360</v>
      </c>
    </row>
    <row r="297" spans="1:13" x14ac:dyDescent="0.3">
      <c r="A297" t="s">
        <v>237</v>
      </c>
      <c r="B297" t="s">
        <v>222</v>
      </c>
      <c r="C297" t="s">
        <v>23</v>
      </c>
      <c r="D297" t="s">
        <v>24</v>
      </c>
      <c r="E297">
        <v>3100000</v>
      </c>
      <c r="F297">
        <v>1153644</v>
      </c>
      <c r="G297">
        <v>1946356</v>
      </c>
      <c r="H297" s="5">
        <f>IFERROR((tbl_raw[[#This Row],[Revenue]]-tbl_raw[[#This Row],[COGS]]) / tbl_raw[[#This Row],[Revenue]], 0)</f>
        <v>0.62785677419354835</v>
      </c>
      <c r="I297" s="5" t="str" cm="1">
        <f t="array" ref="I29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97" s="5">
        <f>_xlfn.XLOOKUP(tbl_raw[[#This Row],[Kategori]], tbl_target[Kategori], tbl_target[Target_Margin], 0)</f>
        <v>0.35</v>
      </c>
      <c r="K297" t="s">
        <v>14</v>
      </c>
      <c r="L297" t="s">
        <v>19</v>
      </c>
      <c r="M297">
        <v>3614226</v>
      </c>
    </row>
    <row r="298" spans="1:13" x14ac:dyDescent="0.3">
      <c r="A298" t="s">
        <v>237</v>
      </c>
      <c r="B298" t="s">
        <v>222</v>
      </c>
      <c r="C298" t="s">
        <v>23</v>
      </c>
      <c r="D298" t="s">
        <v>58</v>
      </c>
      <c r="E298">
        <v>17900000</v>
      </c>
      <c r="F298">
        <v>7072364</v>
      </c>
      <c r="G298">
        <v>10827636</v>
      </c>
      <c r="H298" s="5">
        <f>IFERROR((tbl_raw[[#This Row],[Revenue]]-tbl_raw[[#This Row],[COGS]]) / tbl_raw[[#This Row],[Revenue]], 0)</f>
        <v>0.60489586592178768</v>
      </c>
      <c r="I298" s="5" t="str" cm="1">
        <f t="array" ref="I29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98" s="5">
        <f>_xlfn.XLOOKUP(tbl_raw[[#This Row],[Kategori]], tbl_target[Kategori], tbl_target[Target_Margin], 0)</f>
        <v>0.35</v>
      </c>
      <c r="K298" t="s">
        <v>22</v>
      </c>
      <c r="L298" t="s">
        <v>41</v>
      </c>
      <c r="M298">
        <v>18960475</v>
      </c>
    </row>
    <row r="299" spans="1:13" x14ac:dyDescent="0.3">
      <c r="A299" t="s">
        <v>238</v>
      </c>
      <c r="B299" t="s">
        <v>222</v>
      </c>
      <c r="C299" t="s">
        <v>12</v>
      </c>
      <c r="D299" t="s">
        <v>17</v>
      </c>
      <c r="E299">
        <v>2600000</v>
      </c>
      <c r="F299">
        <v>1264753</v>
      </c>
      <c r="G299">
        <v>1335247</v>
      </c>
      <c r="H299" s="5">
        <f>IFERROR((tbl_raw[[#This Row],[Revenue]]-tbl_raw[[#This Row],[COGS]]) / tbl_raw[[#This Row],[Revenue]], 0)</f>
        <v>0.51355653846153848</v>
      </c>
      <c r="I299" s="5" t="str" cm="1">
        <f t="array" ref="I29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299" s="5">
        <f>_xlfn.XLOOKUP(tbl_raw[[#This Row],[Kategori]], tbl_target[Kategori], tbl_target[Target_Margin], 0)</f>
        <v>0.25</v>
      </c>
      <c r="K299" t="s">
        <v>14</v>
      </c>
      <c r="L299" t="s">
        <v>41</v>
      </c>
      <c r="M299">
        <v>2272326</v>
      </c>
    </row>
    <row r="300" spans="1:13" x14ac:dyDescent="0.3">
      <c r="A300" t="s">
        <v>239</v>
      </c>
      <c r="B300" t="s">
        <v>222</v>
      </c>
      <c r="C300" t="s">
        <v>20</v>
      </c>
      <c r="D300" t="s">
        <v>30</v>
      </c>
      <c r="E300">
        <v>19300000</v>
      </c>
      <c r="F300">
        <v>11024023</v>
      </c>
      <c r="G300">
        <v>8275977</v>
      </c>
      <c r="H300" s="5">
        <f>IFERROR((tbl_raw[[#This Row],[Revenue]]-tbl_raw[[#This Row],[COGS]]) / tbl_raw[[#This Row],[Revenue]], 0)</f>
        <v>0.42880709844559584</v>
      </c>
      <c r="I300" s="5" t="str" cm="1">
        <f t="array" ref="I30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00" s="5">
        <f>_xlfn.XLOOKUP(tbl_raw[[#This Row],[Kategori]], tbl_target[Kategori], tbl_target[Target_Margin], 0)</f>
        <v>0.4</v>
      </c>
      <c r="K300" t="s">
        <v>14</v>
      </c>
      <c r="L300" t="s">
        <v>28</v>
      </c>
      <c r="M300">
        <v>20491796</v>
      </c>
    </row>
    <row r="301" spans="1:13" x14ac:dyDescent="0.3">
      <c r="A301" t="s">
        <v>239</v>
      </c>
      <c r="B301" t="s">
        <v>222</v>
      </c>
      <c r="C301" t="s">
        <v>23</v>
      </c>
      <c r="D301" t="s">
        <v>27</v>
      </c>
      <c r="E301">
        <v>5200000</v>
      </c>
      <c r="F301">
        <v>2895953</v>
      </c>
      <c r="G301">
        <v>2304047</v>
      </c>
      <c r="H301" s="5">
        <f>IFERROR((tbl_raw[[#This Row],[Revenue]]-tbl_raw[[#This Row],[COGS]]) / tbl_raw[[#This Row],[Revenue]], 0)</f>
        <v>0.44308596153846153</v>
      </c>
      <c r="I301" s="5" t="str" cm="1">
        <f t="array" ref="I30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01" s="5">
        <f>_xlfn.XLOOKUP(tbl_raw[[#This Row],[Kategori]], tbl_target[Kategori], tbl_target[Target_Margin], 0)</f>
        <v>0.35</v>
      </c>
      <c r="K301" t="s">
        <v>22</v>
      </c>
      <c r="L301" t="s">
        <v>28</v>
      </c>
      <c r="M301">
        <v>5929251</v>
      </c>
    </row>
    <row r="302" spans="1:13" x14ac:dyDescent="0.3">
      <c r="A302" t="s">
        <v>240</v>
      </c>
      <c r="B302" t="s">
        <v>241</v>
      </c>
      <c r="C302" t="s">
        <v>12</v>
      </c>
      <c r="D302" t="s">
        <v>32</v>
      </c>
      <c r="E302">
        <v>19100000</v>
      </c>
      <c r="F302">
        <v>9397729</v>
      </c>
      <c r="G302">
        <v>9702271</v>
      </c>
      <c r="H302" s="5">
        <f>IFERROR((tbl_raw[[#This Row],[Revenue]]-tbl_raw[[#This Row],[COGS]]) / tbl_raw[[#This Row],[Revenue]], 0)</f>
        <v>0.50797230366492152</v>
      </c>
      <c r="I302" s="5" t="str" cm="1">
        <f t="array" ref="I30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02" s="5">
        <f>_xlfn.XLOOKUP(tbl_raw[[#This Row],[Kategori]], tbl_target[Kategori], tbl_target[Target_Margin], 0)</f>
        <v>0.25</v>
      </c>
      <c r="K302" t="s">
        <v>22</v>
      </c>
      <c r="L302" t="s">
        <v>19</v>
      </c>
      <c r="M302">
        <v>16803102</v>
      </c>
    </row>
    <row r="303" spans="1:13" x14ac:dyDescent="0.3">
      <c r="A303" t="s">
        <v>240</v>
      </c>
      <c r="B303" t="s">
        <v>241</v>
      </c>
      <c r="C303" t="s">
        <v>23</v>
      </c>
      <c r="D303" t="s">
        <v>58</v>
      </c>
      <c r="E303">
        <v>6700000</v>
      </c>
      <c r="F303">
        <v>3786481</v>
      </c>
      <c r="G303">
        <v>2913519</v>
      </c>
      <c r="H303" s="5">
        <f>IFERROR((tbl_raw[[#This Row],[Revenue]]-tbl_raw[[#This Row],[COGS]]) / tbl_raw[[#This Row],[Revenue]], 0)</f>
        <v>0.43485358208955222</v>
      </c>
      <c r="I303" s="5" t="str" cm="1">
        <f t="array" ref="I30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03" s="5">
        <f>_xlfn.XLOOKUP(tbl_raw[[#This Row],[Kategori]], tbl_target[Kategori], tbl_target[Target_Margin], 0)</f>
        <v>0.35</v>
      </c>
      <c r="K303" t="s">
        <v>48</v>
      </c>
      <c r="L303" t="s">
        <v>41</v>
      </c>
      <c r="M303">
        <v>8044104</v>
      </c>
    </row>
    <row r="304" spans="1:13" x14ac:dyDescent="0.3">
      <c r="A304" t="s">
        <v>240</v>
      </c>
      <c r="B304" t="s">
        <v>241</v>
      </c>
      <c r="C304" t="s">
        <v>23</v>
      </c>
      <c r="D304" t="s">
        <v>27</v>
      </c>
      <c r="E304">
        <v>5400000</v>
      </c>
      <c r="F304">
        <v>2454807</v>
      </c>
      <c r="G304">
        <v>2945193</v>
      </c>
      <c r="H304" s="5">
        <f>IFERROR((tbl_raw[[#This Row],[Revenue]]-tbl_raw[[#This Row],[COGS]]) / tbl_raw[[#This Row],[Revenue]], 0)</f>
        <v>0.54540611111111115</v>
      </c>
      <c r="I304" s="5" t="str" cm="1">
        <f t="array" ref="I30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04" s="5">
        <f>_xlfn.XLOOKUP(tbl_raw[[#This Row],[Kategori]], tbl_target[Kategori], tbl_target[Target_Margin], 0)</f>
        <v>0.35</v>
      </c>
      <c r="K304" t="s">
        <v>48</v>
      </c>
      <c r="L304" t="s">
        <v>34</v>
      </c>
      <c r="M304">
        <v>4842893</v>
      </c>
    </row>
    <row r="305" spans="1:13" x14ac:dyDescent="0.3">
      <c r="A305" t="s">
        <v>242</v>
      </c>
      <c r="B305" t="s">
        <v>241</v>
      </c>
      <c r="C305" t="s">
        <v>20</v>
      </c>
      <c r="D305" t="s">
        <v>30</v>
      </c>
      <c r="E305">
        <v>14000000</v>
      </c>
      <c r="F305">
        <v>8348014</v>
      </c>
      <c r="G305">
        <v>5651986</v>
      </c>
      <c r="H305" s="5">
        <f>IFERROR((tbl_raw[[#This Row],[Revenue]]-tbl_raw[[#This Row],[COGS]]) / tbl_raw[[#This Row],[Revenue]], 0)</f>
        <v>0.40371328571428572</v>
      </c>
      <c r="I305" s="5" t="str" cm="1">
        <f t="array" ref="I30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05" s="5">
        <f>_xlfn.XLOOKUP(tbl_raw[[#This Row],[Kategori]], tbl_target[Kategori], tbl_target[Target_Margin], 0)</f>
        <v>0.4</v>
      </c>
      <c r="K305" t="s">
        <v>18</v>
      </c>
      <c r="L305" t="s">
        <v>28</v>
      </c>
      <c r="M305">
        <v>16661702</v>
      </c>
    </row>
    <row r="306" spans="1:13" x14ac:dyDescent="0.3">
      <c r="A306" t="s">
        <v>243</v>
      </c>
      <c r="B306" t="s">
        <v>241</v>
      </c>
      <c r="C306" t="s">
        <v>23</v>
      </c>
      <c r="D306" t="s">
        <v>24</v>
      </c>
      <c r="E306">
        <v>2800000</v>
      </c>
      <c r="F306">
        <v>1427616</v>
      </c>
      <c r="G306">
        <v>1372384</v>
      </c>
      <c r="H306" s="5">
        <f>IFERROR((tbl_raw[[#This Row],[Revenue]]-tbl_raw[[#This Row],[COGS]]) / tbl_raw[[#This Row],[Revenue]], 0)</f>
        <v>0.49013714285714288</v>
      </c>
      <c r="I306" s="5" t="str" cm="1">
        <f t="array" ref="I30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06" s="5">
        <f>_xlfn.XLOOKUP(tbl_raw[[#This Row],[Kategori]], tbl_target[Kategori], tbl_target[Target_Margin], 0)</f>
        <v>0.35</v>
      </c>
      <c r="K306" t="s">
        <v>36</v>
      </c>
      <c r="L306" t="s">
        <v>15</v>
      </c>
      <c r="M306">
        <v>2678094</v>
      </c>
    </row>
    <row r="307" spans="1:13" x14ac:dyDescent="0.3">
      <c r="A307" t="s">
        <v>244</v>
      </c>
      <c r="B307" t="s">
        <v>241</v>
      </c>
      <c r="C307" t="s">
        <v>23</v>
      </c>
      <c r="D307" t="s">
        <v>58</v>
      </c>
      <c r="E307">
        <v>13000000</v>
      </c>
      <c r="F307">
        <v>7565465</v>
      </c>
      <c r="G307">
        <v>5434535</v>
      </c>
      <c r="H307" s="5">
        <f>IFERROR((tbl_raw[[#This Row],[Revenue]]-tbl_raw[[#This Row],[COGS]]) / tbl_raw[[#This Row],[Revenue]], 0)</f>
        <v>0.41804115384615387</v>
      </c>
      <c r="I307" s="5" t="str" cm="1">
        <f t="array" ref="I30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07" s="5">
        <f>_xlfn.XLOOKUP(tbl_raw[[#This Row],[Kategori]], tbl_target[Kategori], tbl_target[Target_Margin], 0)</f>
        <v>0.35</v>
      </c>
      <c r="K307" t="s">
        <v>48</v>
      </c>
      <c r="L307" t="s">
        <v>34</v>
      </c>
      <c r="M307">
        <v>12976240</v>
      </c>
    </row>
    <row r="308" spans="1:13" x14ac:dyDescent="0.3">
      <c r="A308" t="s">
        <v>245</v>
      </c>
      <c r="B308" t="s">
        <v>241</v>
      </c>
      <c r="C308" t="s">
        <v>23</v>
      </c>
      <c r="D308" t="s">
        <v>24</v>
      </c>
      <c r="E308">
        <v>10100000</v>
      </c>
      <c r="F308">
        <v>5377239</v>
      </c>
      <c r="G308">
        <v>4722761</v>
      </c>
      <c r="H308" s="5">
        <f>IFERROR((tbl_raw[[#This Row],[Revenue]]-tbl_raw[[#This Row],[COGS]]) / tbl_raw[[#This Row],[Revenue]], 0)</f>
        <v>0.46760009900990102</v>
      </c>
      <c r="I308" s="5" t="str" cm="1">
        <f t="array" ref="I30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08" s="5">
        <f>_xlfn.XLOOKUP(tbl_raw[[#This Row],[Kategori]], tbl_target[Kategori], tbl_target[Target_Margin], 0)</f>
        <v>0.35</v>
      </c>
      <c r="K308" t="s">
        <v>22</v>
      </c>
      <c r="L308" t="s">
        <v>41</v>
      </c>
      <c r="M308">
        <v>10870343</v>
      </c>
    </row>
    <row r="309" spans="1:13" x14ac:dyDescent="0.3">
      <c r="A309" t="s">
        <v>246</v>
      </c>
      <c r="B309" t="s">
        <v>241</v>
      </c>
      <c r="C309" t="s">
        <v>23</v>
      </c>
      <c r="D309" t="s">
        <v>24</v>
      </c>
      <c r="E309">
        <v>2200000</v>
      </c>
      <c r="F309">
        <v>897498</v>
      </c>
      <c r="G309">
        <v>1302502</v>
      </c>
      <c r="H309" s="5">
        <f>IFERROR((tbl_raw[[#This Row],[Revenue]]-tbl_raw[[#This Row],[COGS]]) / tbl_raw[[#This Row],[Revenue]], 0)</f>
        <v>0.59204636363636365</v>
      </c>
      <c r="I309" s="5" t="str" cm="1">
        <f t="array" ref="I30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09" s="5">
        <f>_xlfn.XLOOKUP(tbl_raw[[#This Row],[Kategori]], tbl_target[Kategori], tbl_target[Target_Margin], 0)</f>
        <v>0.35</v>
      </c>
      <c r="K309" t="s">
        <v>22</v>
      </c>
      <c r="L309" t="s">
        <v>15</v>
      </c>
      <c r="M309">
        <v>1861498</v>
      </c>
    </row>
    <row r="310" spans="1:13" x14ac:dyDescent="0.3">
      <c r="A310" t="s">
        <v>247</v>
      </c>
      <c r="B310" t="s">
        <v>241</v>
      </c>
      <c r="C310" t="s">
        <v>20</v>
      </c>
      <c r="D310" t="s">
        <v>40</v>
      </c>
      <c r="E310">
        <v>5300000</v>
      </c>
      <c r="F310">
        <v>2157247</v>
      </c>
      <c r="G310">
        <v>3142753</v>
      </c>
      <c r="H310" s="5">
        <f>IFERROR((tbl_raw[[#This Row],[Revenue]]-tbl_raw[[#This Row],[COGS]]) / tbl_raw[[#This Row],[Revenue]], 0)</f>
        <v>0.5929722641509434</v>
      </c>
      <c r="I310" s="5" t="str" cm="1">
        <f t="array" ref="I31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10" s="5">
        <f>_xlfn.XLOOKUP(tbl_raw[[#This Row],[Kategori]], tbl_target[Kategori], tbl_target[Target_Margin], 0)</f>
        <v>0.4</v>
      </c>
      <c r="K310" t="s">
        <v>18</v>
      </c>
      <c r="L310" t="s">
        <v>34</v>
      </c>
      <c r="M310">
        <v>4691965</v>
      </c>
    </row>
    <row r="311" spans="1:13" x14ac:dyDescent="0.3">
      <c r="A311" t="s">
        <v>248</v>
      </c>
      <c r="B311" t="s">
        <v>241</v>
      </c>
      <c r="C311" t="s">
        <v>12</v>
      </c>
      <c r="D311" t="s">
        <v>32</v>
      </c>
      <c r="E311">
        <v>1500000</v>
      </c>
      <c r="F311">
        <v>715178</v>
      </c>
      <c r="G311">
        <v>784822</v>
      </c>
      <c r="H311" s="5">
        <f>IFERROR((tbl_raw[[#This Row],[Revenue]]-tbl_raw[[#This Row],[COGS]]) / tbl_raw[[#This Row],[Revenue]], 0)</f>
        <v>0.52321466666666672</v>
      </c>
      <c r="I311" s="5" t="str" cm="1">
        <f t="array" ref="I31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11" s="5">
        <f>_xlfn.XLOOKUP(tbl_raw[[#This Row],[Kategori]], tbl_target[Kategori], tbl_target[Target_Margin], 0)</f>
        <v>0.25</v>
      </c>
      <c r="K311" t="s">
        <v>22</v>
      </c>
      <c r="L311" t="s">
        <v>49</v>
      </c>
      <c r="M311">
        <v>1550484</v>
      </c>
    </row>
    <row r="312" spans="1:13" x14ac:dyDescent="0.3">
      <c r="A312" t="s">
        <v>249</v>
      </c>
      <c r="B312" t="s">
        <v>241</v>
      </c>
      <c r="C312" t="s">
        <v>20</v>
      </c>
      <c r="D312" t="s">
        <v>30</v>
      </c>
      <c r="E312">
        <v>5400000</v>
      </c>
      <c r="F312">
        <v>2830969</v>
      </c>
      <c r="G312">
        <v>2569031</v>
      </c>
      <c r="H312" s="5">
        <f>IFERROR((tbl_raw[[#This Row],[Revenue]]-tbl_raw[[#This Row],[COGS]]) / tbl_raw[[#This Row],[Revenue]], 0)</f>
        <v>0.47574648148148146</v>
      </c>
      <c r="I312" s="5" t="str" cm="1">
        <f t="array" ref="I31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12" s="5">
        <f>_xlfn.XLOOKUP(tbl_raw[[#This Row],[Kategori]], tbl_target[Kategori], tbl_target[Target_Margin], 0)</f>
        <v>0.4</v>
      </c>
      <c r="K312" t="s">
        <v>14</v>
      </c>
      <c r="L312" t="s">
        <v>34</v>
      </c>
      <c r="M312">
        <v>5058720</v>
      </c>
    </row>
    <row r="313" spans="1:13" x14ac:dyDescent="0.3">
      <c r="A313" t="s">
        <v>250</v>
      </c>
      <c r="B313" t="s">
        <v>241</v>
      </c>
      <c r="C313" t="s">
        <v>23</v>
      </c>
      <c r="D313" t="s">
        <v>27</v>
      </c>
      <c r="E313">
        <v>17100000</v>
      </c>
      <c r="F313">
        <v>7005886</v>
      </c>
      <c r="G313">
        <v>10094114</v>
      </c>
      <c r="H313" s="5">
        <f>IFERROR((tbl_raw[[#This Row],[Revenue]]-tbl_raw[[#This Row],[COGS]]) / tbl_raw[[#This Row],[Revenue]], 0)</f>
        <v>0.59029906432748536</v>
      </c>
      <c r="I313" s="5" t="str" cm="1">
        <f t="array" ref="I31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13" s="5">
        <f>_xlfn.XLOOKUP(tbl_raw[[#This Row],[Kategori]], tbl_target[Kategori], tbl_target[Target_Margin], 0)</f>
        <v>0.35</v>
      </c>
      <c r="K313" t="s">
        <v>36</v>
      </c>
      <c r="L313" t="s">
        <v>34</v>
      </c>
      <c r="M313">
        <v>16301738</v>
      </c>
    </row>
    <row r="314" spans="1:13" x14ac:dyDescent="0.3">
      <c r="A314" t="s">
        <v>250</v>
      </c>
      <c r="B314" t="s">
        <v>241</v>
      </c>
      <c r="C314" t="s">
        <v>12</v>
      </c>
      <c r="D314" t="s">
        <v>32</v>
      </c>
      <c r="E314">
        <v>19500000</v>
      </c>
      <c r="F314">
        <v>10778456</v>
      </c>
      <c r="G314">
        <v>8721544</v>
      </c>
      <c r="H314" s="5">
        <f>IFERROR((tbl_raw[[#This Row],[Revenue]]-tbl_raw[[#This Row],[COGS]]) / tbl_raw[[#This Row],[Revenue]], 0)</f>
        <v>0.44725866666666669</v>
      </c>
      <c r="I314" s="5" t="str" cm="1">
        <f t="array" ref="I31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14" s="5">
        <f>_xlfn.XLOOKUP(tbl_raw[[#This Row],[Kategori]], tbl_target[Kategori], tbl_target[Target_Margin], 0)</f>
        <v>0.25</v>
      </c>
      <c r="K314" t="s">
        <v>18</v>
      </c>
      <c r="L314" t="s">
        <v>41</v>
      </c>
      <c r="M314">
        <v>19211823</v>
      </c>
    </row>
    <row r="315" spans="1:13" x14ac:dyDescent="0.3">
      <c r="A315" t="s">
        <v>251</v>
      </c>
      <c r="B315" t="s">
        <v>241</v>
      </c>
      <c r="C315" t="s">
        <v>20</v>
      </c>
      <c r="D315" t="s">
        <v>21</v>
      </c>
      <c r="E315">
        <v>7300000</v>
      </c>
      <c r="F315">
        <v>3317622</v>
      </c>
      <c r="G315">
        <v>3982378</v>
      </c>
      <c r="H315" s="5">
        <f>IFERROR((tbl_raw[[#This Row],[Revenue]]-tbl_raw[[#This Row],[COGS]]) / tbl_raw[[#This Row],[Revenue]], 0)</f>
        <v>0.54553123287671235</v>
      </c>
      <c r="I315" s="5" t="str" cm="1">
        <f t="array" ref="I31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15" s="5">
        <f>_xlfn.XLOOKUP(tbl_raw[[#This Row],[Kategori]], tbl_target[Kategori], tbl_target[Target_Margin], 0)</f>
        <v>0.4</v>
      </c>
      <c r="K315" t="s">
        <v>36</v>
      </c>
      <c r="L315" t="s">
        <v>41</v>
      </c>
      <c r="M315">
        <v>7625226</v>
      </c>
    </row>
    <row r="316" spans="1:13" x14ac:dyDescent="0.3">
      <c r="A316" t="s">
        <v>252</v>
      </c>
      <c r="B316" t="s">
        <v>241</v>
      </c>
      <c r="C316" t="s">
        <v>20</v>
      </c>
      <c r="D316" t="s">
        <v>40</v>
      </c>
      <c r="E316">
        <v>9300000</v>
      </c>
      <c r="F316">
        <v>4201278</v>
      </c>
      <c r="G316">
        <v>5098722</v>
      </c>
      <c r="H316" s="5">
        <f>IFERROR((tbl_raw[[#This Row],[Revenue]]-tbl_raw[[#This Row],[COGS]]) / tbl_raw[[#This Row],[Revenue]], 0)</f>
        <v>0.54824967741935482</v>
      </c>
      <c r="I316" s="5" t="str" cm="1">
        <f t="array" ref="I31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16" s="5">
        <f>_xlfn.XLOOKUP(tbl_raw[[#This Row],[Kategori]], tbl_target[Kategori], tbl_target[Target_Margin], 0)</f>
        <v>0.4</v>
      </c>
      <c r="K316" t="s">
        <v>18</v>
      </c>
      <c r="L316" t="s">
        <v>41</v>
      </c>
      <c r="M316">
        <v>10137984</v>
      </c>
    </row>
    <row r="317" spans="1:13" x14ac:dyDescent="0.3">
      <c r="A317" t="s">
        <v>253</v>
      </c>
      <c r="B317" t="s">
        <v>241</v>
      </c>
      <c r="C317" t="s">
        <v>20</v>
      </c>
      <c r="D317" t="s">
        <v>21</v>
      </c>
      <c r="E317">
        <v>16100000</v>
      </c>
      <c r="F317">
        <v>7199954</v>
      </c>
      <c r="G317">
        <v>8900046</v>
      </c>
      <c r="H317" s="5">
        <f>IFERROR((tbl_raw[[#This Row],[Revenue]]-tbl_raw[[#This Row],[COGS]]) / tbl_raw[[#This Row],[Revenue]], 0)</f>
        <v>0.55279788819875775</v>
      </c>
      <c r="I317" s="5" t="str" cm="1">
        <f t="array" ref="I31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17" s="5">
        <f>_xlfn.XLOOKUP(tbl_raw[[#This Row],[Kategori]], tbl_target[Kategori], tbl_target[Target_Margin], 0)</f>
        <v>0.4</v>
      </c>
      <c r="K317" t="s">
        <v>18</v>
      </c>
      <c r="L317" t="s">
        <v>49</v>
      </c>
      <c r="M317">
        <v>16885797</v>
      </c>
    </row>
    <row r="318" spans="1:13" x14ac:dyDescent="0.3">
      <c r="A318" t="s">
        <v>253</v>
      </c>
      <c r="B318" t="s">
        <v>241</v>
      </c>
      <c r="C318" t="s">
        <v>23</v>
      </c>
      <c r="D318" t="s">
        <v>58</v>
      </c>
      <c r="E318">
        <v>10900000</v>
      </c>
      <c r="F318">
        <v>5923208</v>
      </c>
      <c r="G318">
        <v>4976792</v>
      </c>
      <c r="H318" s="5">
        <f>IFERROR((tbl_raw[[#This Row],[Revenue]]-tbl_raw[[#This Row],[COGS]]) / tbl_raw[[#This Row],[Revenue]], 0)</f>
        <v>0.45658642201834865</v>
      </c>
      <c r="I318" s="5" t="str" cm="1">
        <f t="array" ref="I31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18" s="5">
        <f>_xlfn.XLOOKUP(tbl_raw[[#This Row],[Kategori]], tbl_target[Kategori], tbl_target[Target_Margin], 0)</f>
        <v>0.35</v>
      </c>
      <c r="K318" t="s">
        <v>14</v>
      </c>
      <c r="L318" t="s">
        <v>25</v>
      </c>
      <c r="M318">
        <v>13422796</v>
      </c>
    </row>
    <row r="319" spans="1:13" x14ac:dyDescent="0.3">
      <c r="A319" t="s">
        <v>254</v>
      </c>
      <c r="B319" t="s">
        <v>241</v>
      </c>
      <c r="C319" t="s">
        <v>12</v>
      </c>
      <c r="D319" t="s">
        <v>13</v>
      </c>
      <c r="E319">
        <v>17600000</v>
      </c>
      <c r="F319">
        <v>7901558</v>
      </c>
      <c r="G319">
        <v>9698442</v>
      </c>
      <c r="H319" s="5">
        <f>IFERROR((tbl_raw[[#This Row],[Revenue]]-tbl_raw[[#This Row],[COGS]]) / tbl_raw[[#This Row],[Revenue]], 0)</f>
        <v>0.55104784090909087</v>
      </c>
      <c r="I319" s="5" t="str" cm="1">
        <f t="array" ref="I31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19" s="5">
        <f>_xlfn.XLOOKUP(tbl_raw[[#This Row],[Kategori]], tbl_target[Kategori], tbl_target[Target_Margin], 0)</f>
        <v>0.25</v>
      </c>
      <c r="K319" t="s">
        <v>18</v>
      </c>
      <c r="L319" t="s">
        <v>41</v>
      </c>
      <c r="M319">
        <v>18570173</v>
      </c>
    </row>
    <row r="320" spans="1:13" x14ac:dyDescent="0.3">
      <c r="A320" t="s">
        <v>254</v>
      </c>
      <c r="B320" t="s">
        <v>241</v>
      </c>
      <c r="C320" t="s">
        <v>23</v>
      </c>
      <c r="D320" t="s">
        <v>24</v>
      </c>
      <c r="E320">
        <v>16800000</v>
      </c>
      <c r="F320">
        <v>8340530</v>
      </c>
      <c r="G320">
        <v>8459470</v>
      </c>
      <c r="H320" s="5">
        <f>IFERROR((tbl_raw[[#This Row],[Revenue]]-tbl_raw[[#This Row],[COGS]]) / tbl_raw[[#This Row],[Revenue]], 0)</f>
        <v>0.503539880952381</v>
      </c>
      <c r="I320" s="5" t="str" cm="1">
        <f t="array" ref="I32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20" s="5">
        <f>_xlfn.XLOOKUP(tbl_raw[[#This Row],[Kategori]], tbl_target[Kategori], tbl_target[Target_Margin], 0)</f>
        <v>0.35</v>
      </c>
      <c r="K320" t="s">
        <v>48</v>
      </c>
      <c r="L320" t="s">
        <v>41</v>
      </c>
      <c r="M320">
        <v>14134113</v>
      </c>
    </row>
    <row r="321" spans="1:13" x14ac:dyDescent="0.3">
      <c r="A321" t="s">
        <v>255</v>
      </c>
      <c r="B321" t="s">
        <v>241</v>
      </c>
      <c r="C321" t="s">
        <v>23</v>
      </c>
      <c r="D321" t="s">
        <v>58</v>
      </c>
      <c r="E321">
        <v>1500000</v>
      </c>
      <c r="F321">
        <v>617213</v>
      </c>
      <c r="G321">
        <v>882787</v>
      </c>
      <c r="H321" s="5">
        <f>IFERROR((tbl_raw[[#This Row],[Revenue]]-tbl_raw[[#This Row],[COGS]]) / tbl_raw[[#This Row],[Revenue]], 0)</f>
        <v>0.5885246666666667</v>
      </c>
      <c r="I321" s="5" t="str" cm="1">
        <f t="array" ref="I32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21" s="5">
        <f>_xlfn.XLOOKUP(tbl_raw[[#This Row],[Kategori]], tbl_target[Kategori], tbl_target[Target_Margin], 0)</f>
        <v>0.35</v>
      </c>
      <c r="K321" t="s">
        <v>18</v>
      </c>
      <c r="L321" t="s">
        <v>49</v>
      </c>
      <c r="M321">
        <v>1316258</v>
      </c>
    </row>
    <row r="322" spans="1:13" x14ac:dyDescent="0.3">
      <c r="A322" t="s">
        <v>255</v>
      </c>
      <c r="B322" t="s">
        <v>241</v>
      </c>
      <c r="C322" t="s">
        <v>23</v>
      </c>
      <c r="D322" t="s">
        <v>24</v>
      </c>
      <c r="E322">
        <v>5300000</v>
      </c>
      <c r="F322">
        <v>2316780</v>
      </c>
      <c r="G322">
        <v>2983220</v>
      </c>
      <c r="H322" s="5">
        <f>IFERROR((tbl_raw[[#This Row],[Revenue]]-tbl_raw[[#This Row],[COGS]]) / tbl_raw[[#This Row],[Revenue]], 0)</f>
        <v>0.56287169811320759</v>
      </c>
      <c r="I322" s="5" t="str" cm="1">
        <f t="array" ref="I32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22" s="5">
        <f>_xlfn.XLOOKUP(tbl_raw[[#This Row],[Kategori]], tbl_target[Kategori], tbl_target[Target_Margin], 0)</f>
        <v>0.35</v>
      </c>
      <c r="K322" t="s">
        <v>18</v>
      </c>
      <c r="L322" t="s">
        <v>34</v>
      </c>
      <c r="M322">
        <v>5051821</v>
      </c>
    </row>
    <row r="323" spans="1:13" x14ac:dyDescent="0.3">
      <c r="A323" t="s">
        <v>256</v>
      </c>
      <c r="B323" t="s">
        <v>241</v>
      </c>
      <c r="C323" t="s">
        <v>20</v>
      </c>
      <c r="D323" t="s">
        <v>40</v>
      </c>
      <c r="E323">
        <v>15900000</v>
      </c>
      <c r="F323">
        <v>9173743</v>
      </c>
      <c r="G323">
        <v>6726257</v>
      </c>
      <c r="H323" s="5">
        <f>IFERROR((tbl_raw[[#This Row],[Revenue]]-tbl_raw[[#This Row],[COGS]]) / tbl_raw[[#This Row],[Revenue]], 0)</f>
        <v>0.42303503144654087</v>
      </c>
      <c r="I323" s="5" t="str" cm="1">
        <f t="array" ref="I32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23" s="5">
        <f>_xlfn.XLOOKUP(tbl_raw[[#This Row],[Kategori]], tbl_target[Kategori], tbl_target[Target_Margin], 0)</f>
        <v>0.4</v>
      </c>
      <c r="K323" t="s">
        <v>14</v>
      </c>
      <c r="L323" t="s">
        <v>15</v>
      </c>
      <c r="M323">
        <v>17889007</v>
      </c>
    </row>
    <row r="324" spans="1:13" x14ac:dyDescent="0.3">
      <c r="A324" t="s">
        <v>257</v>
      </c>
      <c r="B324" t="s">
        <v>258</v>
      </c>
      <c r="C324" t="s">
        <v>12</v>
      </c>
      <c r="D324" t="s">
        <v>32</v>
      </c>
      <c r="E324">
        <v>1200000</v>
      </c>
      <c r="F324">
        <v>660011</v>
      </c>
      <c r="G324">
        <v>539989</v>
      </c>
      <c r="H324" s="5">
        <f>IFERROR((tbl_raw[[#This Row],[Revenue]]-tbl_raw[[#This Row],[COGS]]) / tbl_raw[[#This Row],[Revenue]], 0)</f>
        <v>0.44999083333333334</v>
      </c>
      <c r="I324" s="5" t="str" cm="1">
        <f t="array" ref="I32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24" s="5">
        <f>_xlfn.XLOOKUP(tbl_raw[[#This Row],[Kategori]], tbl_target[Kategori], tbl_target[Target_Margin], 0)</f>
        <v>0.25</v>
      </c>
      <c r="K324" t="s">
        <v>18</v>
      </c>
      <c r="L324" t="s">
        <v>31</v>
      </c>
      <c r="M324">
        <v>1300847</v>
      </c>
    </row>
    <row r="325" spans="1:13" x14ac:dyDescent="0.3">
      <c r="A325" t="s">
        <v>259</v>
      </c>
      <c r="B325" t="s">
        <v>258</v>
      </c>
      <c r="C325" t="s">
        <v>20</v>
      </c>
      <c r="D325" t="s">
        <v>30</v>
      </c>
      <c r="E325">
        <v>12700000</v>
      </c>
      <c r="F325">
        <v>4510693</v>
      </c>
      <c r="G325">
        <v>8189307</v>
      </c>
      <c r="H325" s="5">
        <f>IFERROR((tbl_raw[[#This Row],[Revenue]]-tbl_raw[[#This Row],[COGS]]) / tbl_raw[[#This Row],[Revenue]], 0)</f>
        <v>0.64482732283464572</v>
      </c>
      <c r="I325" s="5" t="str" cm="1">
        <f t="array" ref="I32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25" s="5">
        <f>_xlfn.XLOOKUP(tbl_raw[[#This Row],[Kategori]], tbl_target[Kategori], tbl_target[Target_Margin], 0)</f>
        <v>0.4</v>
      </c>
      <c r="K325" t="s">
        <v>18</v>
      </c>
      <c r="L325" t="s">
        <v>15</v>
      </c>
      <c r="M325">
        <v>10984721</v>
      </c>
    </row>
    <row r="326" spans="1:13" x14ac:dyDescent="0.3">
      <c r="A326" t="s">
        <v>260</v>
      </c>
      <c r="B326" t="s">
        <v>258</v>
      </c>
      <c r="C326" t="s">
        <v>20</v>
      </c>
      <c r="D326" t="s">
        <v>30</v>
      </c>
      <c r="E326">
        <v>5000000</v>
      </c>
      <c r="F326">
        <v>1805023</v>
      </c>
      <c r="G326">
        <v>3194977</v>
      </c>
      <c r="H326" s="5">
        <f>IFERROR((tbl_raw[[#This Row],[Revenue]]-tbl_raw[[#This Row],[COGS]]) / tbl_raw[[#This Row],[Revenue]], 0)</f>
        <v>0.63899539999999999</v>
      </c>
      <c r="I326" s="5" t="str" cm="1">
        <f t="array" ref="I32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26" s="5">
        <f>_xlfn.XLOOKUP(tbl_raw[[#This Row],[Kategori]], tbl_target[Kategori], tbl_target[Target_Margin], 0)</f>
        <v>0.4</v>
      </c>
      <c r="K326" t="s">
        <v>48</v>
      </c>
      <c r="L326" t="s">
        <v>15</v>
      </c>
      <c r="M326">
        <v>5226270</v>
      </c>
    </row>
    <row r="327" spans="1:13" x14ac:dyDescent="0.3">
      <c r="A327" t="s">
        <v>260</v>
      </c>
      <c r="B327" t="s">
        <v>258</v>
      </c>
      <c r="C327" t="s">
        <v>23</v>
      </c>
      <c r="D327" t="s">
        <v>27</v>
      </c>
      <c r="E327">
        <v>600000</v>
      </c>
      <c r="F327">
        <v>342373</v>
      </c>
      <c r="G327">
        <v>257627</v>
      </c>
      <c r="H327" s="5">
        <f>IFERROR((tbl_raw[[#This Row],[Revenue]]-tbl_raw[[#This Row],[COGS]]) / tbl_raw[[#This Row],[Revenue]], 0)</f>
        <v>0.42937833333333331</v>
      </c>
      <c r="I327" s="5" t="str" cm="1">
        <f t="array" ref="I32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27" s="5">
        <f>_xlfn.XLOOKUP(tbl_raw[[#This Row],[Kategori]], tbl_target[Kategori], tbl_target[Target_Margin], 0)</f>
        <v>0.35</v>
      </c>
      <c r="K327" t="s">
        <v>18</v>
      </c>
      <c r="L327" t="s">
        <v>19</v>
      </c>
      <c r="M327">
        <v>492862</v>
      </c>
    </row>
    <row r="328" spans="1:13" x14ac:dyDescent="0.3">
      <c r="A328" t="s">
        <v>261</v>
      </c>
      <c r="B328" t="s">
        <v>258</v>
      </c>
      <c r="C328" t="s">
        <v>23</v>
      </c>
      <c r="D328" t="s">
        <v>58</v>
      </c>
      <c r="E328">
        <v>7100000</v>
      </c>
      <c r="F328">
        <v>3181922</v>
      </c>
      <c r="G328">
        <v>3918078</v>
      </c>
      <c r="H328" s="5">
        <f>IFERROR((tbl_raw[[#This Row],[Revenue]]-tbl_raw[[#This Row],[COGS]]) / tbl_raw[[#This Row],[Revenue]], 0)</f>
        <v>0.55184197183098593</v>
      </c>
      <c r="I328" s="5" t="str" cm="1">
        <f t="array" ref="I32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28" s="5">
        <f>_xlfn.XLOOKUP(tbl_raw[[#This Row],[Kategori]], tbl_target[Kategori], tbl_target[Target_Margin], 0)</f>
        <v>0.35</v>
      </c>
      <c r="K328" t="s">
        <v>36</v>
      </c>
      <c r="L328" t="s">
        <v>49</v>
      </c>
      <c r="M328">
        <v>7989142</v>
      </c>
    </row>
    <row r="329" spans="1:13" x14ac:dyDescent="0.3">
      <c r="A329" t="s">
        <v>261</v>
      </c>
      <c r="B329" t="s">
        <v>258</v>
      </c>
      <c r="C329" t="s">
        <v>23</v>
      </c>
      <c r="D329" t="s">
        <v>27</v>
      </c>
      <c r="E329">
        <v>17100000</v>
      </c>
      <c r="F329">
        <v>9910147</v>
      </c>
      <c r="G329">
        <v>7189853</v>
      </c>
      <c r="H329" s="5">
        <f>IFERROR((tbl_raw[[#This Row],[Revenue]]-tbl_raw[[#This Row],[COGS]]) / tbl_raw[[#This Row],[Revenue]], 0)</f>
        <v>0.42045923976608185</v>
      </c>
      <c r="I329" s="5" t="str" cm="1">
        <f t="array" ref="I32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29" s="5">
        <f>_xlfn.XLOOKUP(tbl_raw[[#This Row],[Kategori]], tbl_target[Kategori], tbl_target[Target_Margin], 0)</f>
        <v>0.35</v>
      </c>
      <c r="K329" t="s">
        <v>22</v>
      </c>
      <c r="L329" t="s">
        <v>49</v>
      </c>
      <c r="M329">
        <v>19670963</v>
      </c>
    </row>
    <row r="330" spans="1:13" x14ac:dyDescent="0.3">
      <c r="A330" t="s">
        <v>262</v>
      </c>
      <c r="B330" t="s">
        <v>258</v>
      </c>
      <c r="C330" t="s">
        <v>23</v>
      </c>
      <c r="D330" t="s">
        <v>58</v>
      </c>
      <c r="E330">
        <v>9200000</v>
      </c>
      <c r="F330">
        <v>5076073</v>
      </c>
      <c r="G330">
        <v>4123927</v>
      </c>
      <c r="H330" s="5">
        <f>IFERROR((tbl_raw[[#This Row],[Revenue]]-tbl_raw[[#This Row],[COGS]]) / tbl_raw[[#This Row],[Revenue]], 0)</f>
        <v>0.44825293478260869</v>
      </c>
      <c r="I330" s="5" t="str" cm="1">
        <f t="array" ref="I33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30" s="5">
        <f>_xlfn.XLOOKUP(tbl_raw[[#This Row],[Kategori]], tbl_target[Kategori], tbl_target[Target_Margin], 0)</f>
        <v>0.35</v>
      </c>
      <c r="K330" t="s">
        <v>14</v>
      </c>
      <c r="L330" t="s">
        <v>41</v>
      </c>
      <c r="M330">
        <v>9601833</v>
      </c>
    </row>
    <row r="331" spans="1:13" x14ac:dyDescent="0.3">
      <c r="A331" t="s">
        <v>262</v>
      </c>
      <c r="B331" t="s">
        <v>258</v>
      </c>
      <c r="C331" t="s">
        <v>23</v>
      </c>
      <c r="D331" t="s">
        <v>58</v>
      </c>
      <c r="E331">
        <v>19600000</v>
      </c>
      <c r="F331">
        <v>11735973</v>
      </c>
      <c r="G331">
        <v>7864027</v>
      </c>
      <c r="H331" s="5">
        <f>IFERROR((tbl_raw[[#This Row],[Revenue]]-tbl_raw[[#This Row],[COGS]]) / tbl_raw[[#This Row],[Revenue]], 0)</f>
        <v>0.40122586734693877</v>
      </c>
      <c r="I331" s="5" t="str" cm="1">
        <f t="array" ref="I33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31" s="5">
        <f>_xlfn.XLOOKUP(tbl_raw[[#This Row],[Kategori]], tbl_target[Kategori], tbl_target[Target_Margin], 0)</f>
        <v>0.35</v>
      </c>
      <c r="K331" t="s">
        <v>22</v>
      </c>
      <c r="L331" t="s">
        <v>19</v>
      </c>
      <c r="M331">
        <v>22115595</v>
      </c>
    </row>
    <row r="332" spans="1:13" x14ac:dyDescent="0.3">
      <c r="A332" t="s">
        <v>263</v>
      </c>
      <c r="B332" t="s">
        <v>258</v>
      </c>
      <c r="C332" t="s">
        <v>23</v>
      </c>
      <c r="D332" t="s">
        <v>58</v>
      </c>
      <c r="E332">
        <v>2200000</v>
      </c>
      <c r="F332">
        <v>867479</v>
      </c>
      <c r="G332">
        <v>1332521</v>
      </c>
      <c r="H332" s="5">
        <f>IFERROR((tbl_raw[[#This Row],[Revenue]]-tbl_raw[[#This Row],[COGS]]) / tbl_raw[[#This Row],[Revenue]], 0)</f>
        <v>0.60569136363636367</v>
      </c>
      <c r="I332" s="5" t="str" cm="1">
        <f t="array" ref="I33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32" s="5">
        <f>_xlfn.XLOOKUP(tbl_raw[[#This Row],[Kategori]], tbl_target[Kategori], tbl_target[Target_Margin], 0)</f>
        <v>0.35</v>
      </c>
      <c r="K332" t="s">
        <v>36</v>
      </c>
      <c r="L332" t="s">
        <v>15</v>
      </c>
      <c r="M332">
        <v>2446434</v>
      </c>
    </row>
    <row r="333" spans="1:13" x14ac:dyDescent="0.3">
      <c r="A333" t="s">
        <v>264</v>
      </c>
      <c r="B333" t="s">
        <v>258</v>
      </c>
      <c r="C333" t="s">
        <v>23</v>
      </c>
      <c r="D333" t="s">
        <v>24</v>
      </c>
      <c r="E333">
        <v>3500000</v>
      </c>
      <c r="F333">
        <v>1306821</v>
      </c>
      <c r="G333">
        <v>2193179</v>
      </c>
      <c r="H333" s="5">
        <f>IFERROR((tbl_raw[[#This Row],[Revenue]]-tbl_raw[[#This Row],[COGS]]) / tbl_raw[[#This Row],[Revenue]], 0)</f>
        <v>0.62662257142857147</v>
      </c>
      <c r="I333" s="5" t="str" cm="1">
        <f t="array" ref="I33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33" s="5">
        <f>_xlfn.XLOOKUP(tbl_raw[[#This Row],[Kategori]], tbl_target[Kategori], tbl_target[Target_Margin], 0)</f>
        <v>0.35</v>
      </c>
      <c r="K333" t="s">
        <v>14</v>
      </c>
      <c r="L333" t="s">
        <v>25</v>
      </c>
      <c r="M333">
        <v>3238054</v>
      </c>
    </row>
    <row r="334" spans="1:13" x14ac:dyDescent="0.3">
      <c r="A334" t="s">
        <v>265</v>
      </c>
      <c r="B334" t="s">
        <v>258</v>
      </c>
      <c r="C334" t="s">
        <v>12</v>
      </c>
      <c r="D334" t="s">
        <v>17</v>
      </c>
      <c r="E334">
        <v>9400000</v>
      </c>
      <c r="F334">
        <v>4375783</v>
      </c>
      <c r="G334">
        <v>5024217</v>
      </c>
      <c r="H334" s="5">
        <f>IFERROR((tbl_raw[[#This Row],[Revenue]]-tbl_raw[[#This Row],[COGS]]) / tbl_raw[[#This Row],[Revenue]], 0)</f>
        <v>0.53449117021276593</v>
      </c>
      <c r="I334" s="5" t="str" cm="1">
        <f t="array" ref="I33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34" s="5">
        <f>_xlfn.XLOOKUP(tbl_raw[[#This Row],[Kategori]], tbl_target[Kategori], tbl_target[Target_Margin], 0)</f>
        <v>0.25</v>
      </c>
      <c r="K334" t="s">
        <v>22</v>
      </c>
      <c r="L334" t="s">
        <v>34</v>
      </c>
      <c r="M334">
        <v>11757345</v>
      </c>
    </row>
    <row r="335" spans="1:13" x14ac:dyDescent="0.3">
      <c r="A335" t="s">
        <v>266</v>
      </c>
      <c r="B335" t="s">
        <v>258</v>
      </c>
      <c r="C335" t="s">
        <v>12</v>
      </c>
      <c r="D335" t="s">
        <v>32</v>
      </c>
      <c r="E335">
        <v>4500000</v>
      </c>
      <c r="F335">
        <v>2506238</v>
      </c>
      <c r="G335">
        <v>1993762</v>
      </c>
      <c r="H335" s="5">
        <f>IFERROR((tbl_raw[[#This Row],[Revenue]]-tbl_raw[[#This Row],[COGS]]) / tbl_raw[[#This Row],[Revenue]], 0)</f>
        <v>0.44305822222222224</v>
      </c>
      <c r="I335" s="5" t="str" cm="1">
        <f t="array" ref="I33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35" s="5">
        <f>_xlfn.XLOOKUP(tbl_raw[[#This Row],[Kategori]], tbl_target[Kategori], tbl_target[Target_Margin], 0)</f>
        <v>0.25</v>
      </c>
      <c r="K335" t="s">
        <v>22</v>
      </c>
      <c r="L335" t="s">
        <v>25</v>
      </c>
      <c r="M335">
        <v>5140009</v>
      </c>
    </row>
    <row r="336" spans="1:13" x14ac:dyDescent="0.3">
      <c r="A336" t="s">
        <v>267</v>
      </c>
      <c r="B336" t="s">
        <v>258</v>
      </c>
      <c r="C336" t="s">
        <v>23</v>
      </c>
      <c r="D336" t="s">
        <v>27</v>
      </c>
      <c r="E336">
        <v>8400000</v>
      </c>
      <c r="F336">
        <v>3685829</v>
      </c>
      <c r="G336">
        <v>4714171</v>
      </c>
      <c r="H336" s="5">
        <f>IFERROR((tbl_raw[[#This Row],[Revenue]]-tbl_raw[[#This Row],[COGS]]) / tbl_raw[[#This Row],[Revenue]], 0)</f>
        <v>0.56121083333333333</v>
      </c>
      <c r="I336" s="5" t="str" cm="1">
        <f t="array" ref="I33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36" s="5">
        <f>_xlfn.XLOOKUP(tbl_raw[[#This Row],[Kategori]], tbl_target[Kategori], tbl_target[Target_Margin], 0)</f>
        <v>0.35</v>
      </c>
      <c r="K336" t="s">
        <v>18</v>
      </c>
      <c r="L336" t="s">
        <v>41</v>
      </c>
      <c r="M336">
        <v>9690504</v>
      </c>
    </row>
    <row r="337" spans="1:13" x14ac:dyDescent="0.3">
      <c r="A337" t="s">
        <v>267</v>
      </c>
      <c r="B337" t="s">
        <v>258</v>
      </c>
      <c r="C337" t="s">
        <v>12</v>
      </c>
      <c r="D337" t="s">
        <v>32</v>
      </c>
      <c r="E337">
        <v>5800000</v>
      </c>
      <c r="F337">
        <v>2470490</v>
      </c>
      <c r="G337">
        <v>3329510</v>
      </c>
      <c r="H337" s="5">
        <f>IFERROR((tbl_raw[[#This Row],[Revenue]]-tbl_raw[[#This Row],[COGS]]) / tbl_raw[[#This Row],[Revenue]], 0)</f>
        <v>0.57405344827586202</v>
      </c>
      <c r="I337" s="5" t="str" cm="1">
        <f t="array" ref="I33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37" s="5">
        <f>_xlfn.XLOOKUP(tbl_raw[[#This Row],[Kategori]], tbl_target[Kategori], tbl_target[Target_Margin], 0)</f>
        <v>0.25</v>
      </c>
      <c r="K337" t="s">
        <v>36</v>
      </c>
      <c r="L337" t="s">
        <v>49</v>
      </c>
      <c r="M337">
        <v>6435847</v>
      </c>
    </row>
    <row r="338" spans="1:13" x14ac:dyDescent="0.3">
      <c r="A338" t="s">
        <v>268</v>
      </c>
      <c r="B338" t="s">
        <v>258</v>
      </c>
      <c r="C338" t="s">
        <v>23</v>
      </c>
      <c r="D338" t="s">
        <v>58</v>
      </c>
      <c r="E338">
        <v>15600000</v>
      </c>
      <c r="F338">
        <v>7065017</v>
      </c>
      <c r="G338">
        <v>8534983</v>
      </c>
      <c r="H338" s="5">
        <f>IFERROR((tbl_raw[[#This Row],[Revenue]]-tbl_raw[[#This Row],[COGS]]) / tbl_raw[[#This Row],[Revenue]], 0)</f>
        <v>0.54711429487179486</v>
      </c>
      <c r="I338" s="5" t="str" cm="1">
        <f t="array" ref="I33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38" s="5">
        <f>_xlfn.XLOOKUP(tbl_raw[[#This Row],[Kategori]], tbl_target[Kategori], tbl_target[Target_Margin], 0)</f>
        <v>0.35</v>
      </c>
      <c r="K338" t="s">
        <v>18</v>
      </c>
      <c r="L338" t="s">
        <v>25</v>
      </c>
      <c r="M338">
        <v>16990987</v>
      </c>
    </row>
    <row r="339" spans="1:13" x14ac:dyDescent="0.3">
      <c r="A339" t="s">
        <v>269</v>
      </c>
      <c r="B339" t="s">
        <v>258</v>
      </c>
      <c r="C339" t="s">
        <v>12</v>
      </c>
      <c r="D339" t="s">
        <v>17</v>
      </c>
      <c r="E339">
        <v>17700000</v>
      </c>
      <c r="F339">
        <v>9521092</v>
      </c>
      <c r="G339">
        <v>8178908</v>
      </c>
      <c r="H339" s="5">
        <f>IFERROR((tbl_raw[[#This Row],[Revenue]]-tbl_raw[[#This Row],[COGS]]) / tbl_raw[[#This Row],[Revenue]], 0)</f>
        <v>0.46208519774011297</v>
      </c>
      <c r="I339" s="5" t="str" cm="1">
        <f t="array" ref="I33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39" s="5">
        <f>_xlfn.XLOOKUP(tbl_raw[[#This Row],[Kategori]], tbl_target[Kategori], tbl_target[Target_Margin], 0)</f>
        <v>0.25</v>
      </c>
      <c r="K339" t="s">
        <v>14</v>
      </c>
      <c r="L339" t="s">
        <v>34</v>
      </c>
      <c r="M339">
        <v>18536419</v>
      </c>
    </row>
    <row r="340" spans="1:13" x14ac:dyDescent="0.3">
      <c r="A340" t="s">
        <v>270</v>
      </c>
      <c r="B340" t="s">
        <v>258</v>
      </c>
      <c r="C340" t="s">
        <v>12</v>
      </c>
      <c r="D340" t="s">
        <v>17</v>
      </c>
      <c r="E340">
        <v>8400000</v>
      </c>
      <c r="F340">
        <v>4876169</v>
      </c>
      <c r="G340">
        <v>3523831</v>
      </c>
      <c r="H340" s="5">
        <f>IFERROR((tbl_raw[[#This Row],[Revenue]]-tbl_raw[[#This Row],[COGS]]) / tbl_raw[[#This Row],[Revenue]], 0)</f>
        <v>0.41950369047619046</v>
      </c>
      <c r="I340" s="5" t="str" cm="1">
        <f t="array" ref="I34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40" s="5">
        <f>_xlfn.XLOOKUP(tbl_raw[[#This Row],[Kategori]], tbl_target[Kategori], tbl_target[Target_Margin], 0)</f>
        <v>0.25</v>
      </c>
      <c r="K340" t="s">
        <v>22</v>
      </c>
      <c r="L340" t="s">
        <v>15</v>
      </c>
      <c r="M340">
        <v>7416970</v>
      </c>
    </row>
    <row r="341" spans="1:13" x14ac:dyDescent="0.3">
      <c r="A341" t="s">
        <v>271</v>
      </c>
      <c r="B341" t="s">
        <v>258</v>
      </c>
      <c r="C341" t="s">
        <v>23</v>
      </c>
      <c r="D341" t="s">
        <v>58</v>
      </c>
      <c r="E341">
        <v>5300000</v>
      </c>
      <c r="F341">
        <v>2577528</v>
      </c>
      <c r="G341">
        <v>2722472</v>
      </c>
      <c r="H341" s="5">
        <f>IFERROR((tbl_raw[[#This Row],[Revenue]]-tbl_raw[[#This Row],[COGS]]) / tbl_raw[[#This Row],[Revenue]], 0)</f>
        <v>0.51367396226415096</v>
      </c>
      <c r="I341" s="5" t="str" cm="1">
        <f t="array" ref="I34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41" s="5">
        <f>_xlfn.XLOOKUP(tbl_raw[[#This Row],[Kategori]], tbl_target[Kategori], tbl_target[Target_Margin], 0)</f>
        <v>0.35</v>
      </c>
      <c r="K341" t="s">
        <v>22</v>
      </c>
      <c r="L341" t="s">
        <v>31</v>
      </c>
      <c r="M341">
        <v>4903231</v>
      </c>
    </row>
    <row r="342" spans="1:13" x14ac:dyDescent="0.3">
      <c r="A342" t="s">
        <v>271</v>
      </c>
      <c r="B342" t="s">
        <v>258</v>
      </c>
      <c r="C342" t="s">
        <v>20</v>
      </c>
      <c r="D342" t="s">
        <v>21</v>
      </c>
      <c r="E342">
        <v>5200000</v>
      </c>
      <c r="F342">
        <v>2649791</v>
      </c>
      <c r="G342">
        <v>2550209</v>
      </c>
      <c r="H342" s="5">
        <f>IFERROR((tbl_raw[[#This Row],[Revenue]]-tbl_raw[[#This Row],[COGS]]) / tbl_raw[[#This Row],[Revenue]], 0)</f>
        <v>0.49042480769230767</v>
      </c>
      <c r="I342" s="5" t="str" cm="1">
        <f t="array" ref="I34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42" s="5">
        <f>_xlfn.XLOOKUP(tbl_raw[[#This Row],[Kategori]], tbl_target[Kategori], tbl_target[Target_Margin], 0)</f>
        <v>0.4</v>
      </c>
      <c r="K342" t="s">
        <v>48</v>
      </c>
      <c r="L342" t="s">
        <v>28</v>
      </c>
      <c r="M342">
        <v>5808267</v>
      </c>
    </row>
    <row r="343" spans="1:13" x14ac:dyDescent="0.3">
      <c r="A343" t="s">
        <v>271</v>
      </c>
      <c r="B343" t="s">
        <v>258</v>
      </c>
      <c r="C343" t="s">
        <v>20</v>
      </c>
      <c r="D343" t="s">
        <v>30</v>
      </c>
      <c r="E343">
        <v>13900000</v>
      </c>
      <c r="F343">
        <v>5700903</v>
      </c>
      <c r="G343">
        <v>8199097</v>
      </c>
      <c r="H343" s="5">
        <f>IFERROR((tbl_raw[[#This Row],[Revenue]]-tbl_raw[[#This Row],[COGS]]) / tbl_raw[[#This Row],[Revenue]], 0)</f>
        <v>0.58986309352517985</v>
      </c>
      <c r="I343" s="5" t="str" cm="1">
        <f t="array" ref="I34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43" s="5">
        <f>_xlfn.XLOOKUP(tbl_raw[[#This Row],[Kategori]], tbl_target[Kategori], tbl_target[Target_Margin], 0)</f>
        <v>0.4</v>
      </c>
      <c r="K343" t="s">
        <v>36</v>
      </c>
      <c r="L343" t="s">
        <v>49</v>
      </c>
      <c r="M343">
        <v>12080643</v>
      </c>
    </row>
    <row r="344" spans="1:13" x14ac:dyDescent="0.3">
      <c r="A344" t="s">
        <v>272</v>
      </c>
      <c r="B344" t="s">
        <v>258</v>
      </c>
      <c r="C344" t="s">
        <v>20</v>
      </c>
      <c r="D344" t="s">
        <v>40</v>
      </c>
      <c r="E344">
        <v>12700000</v>
      </c>
      <c r="F344">
        <v>4573665</v>
      </c>
      <c r="G344">
        <v>8126335</v>
      </c>
      <c r="H344" s="5">
        <f>IFERROR((tbl_raw[[#This Row],[Revenue]]-tbl_raw[[#This Row],[COGS]]) / tbl_raw[[#This Row],[Revenue]], 0)</f>
        <v>0.63986889763779531</v>
      </c>
      <c r="I344" s="5" t="str" cm="1">
        <f t="array" ref="I34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44" s="5">
        <f>_xlfn.XLOOKUP(tbl_raw[[#This Row],[Kategori]], tbl_target[Kategori], tbl_target[Target_Margin], 0)</f>
        <v>0.4</v>
      </c>
      <c r="K344" t="s">
        <v>36</v>
      </c>
      <c r="L344" t="s">
        <v>31</v>
      </c>
      <c r="M344">
        <v>16391619</v>
      </c>
    </row>
    <row r="345" spans="1:13" x14ac:dyDescent="0.3">
      <c r="A345" t="s">
        <v>273</v>
      </c>
      <c r="B345" t="s">
        <v>274</v>
      </c>
      <c r="C345" t="s">
        <v>12</v>
      </c>
      <c r="D345" t="s">
        <v>17</v>
      </c>
      <c r="E345">
        <v>14100000</v>
      </c>
      <c r="F345">
        <v>6110337</v>
      </c>
      <c r="G345">
        <v>7989663</v>
      </c>
      <c r="H345" s="5">
        <f>IFERROR((tbl_raw[[#This Row],[Revenue]]-tbl_raw[[#This Row],[COGS]]) / tbl_raw[[#This Row],[Revenue]], 0)</f>
        <v>0.56664276595744678</v>
      </c>
      <c r="I345" s="5" t="str" cm="1">
        <f t="array" ref="I34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45" s="5">
        <f>_xlfn.XLOOKUP(tbl_raw[[#This Row],[Kategori]], tbl_target[Kategori], tbl_target[Target_Margin], 0)</f>
        <v>0.25</v>
      </c>
      <c r="K345" t="s">
        <v>14</v>
      </c>
      <c r="L345" t="s">
        <v>49</v>
      </c>
      <c r="M345">
        <v>12884422</v>
      </c>
    </row>
    <row r="346" spans="1:13" x14ac:dyDescent="0.3">
      <c r="A346" t="s">
        <v>275</v>
      </c>
      <c r="B346" t="s">
        <v>274</v>
      </c>
      <c r="C346" t="s">
        <v>12</v>
      </c>
      <c r="D346" t="s">
        <v>32</v>
      </c>
      <c r="E346">
        <v>2500000</v>
      </c>
      <c r="F346">
        <v>1132901</v>
      </c>
      <c r="G346">
        <v>1367099</v>
      </c>
      <c r="H346" s="5">
        <f>IFERROR((tbl_raw[[#This Row],[Revenue]]-tbl_raw[[#This Row],[COGS]]) / tbl_raw[[#This Row],[Revenue]], 0)</f>
        <v>0.54683959999999998</v>
      </c>
      <c r="I346" s="5" t="str" cm="1">
        <f t="array" ref="I34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46" s="5">
        <f>_xlfn.XLOOKUP(tbl_raw[[#This Row],[Kategori]], tbl_target[Kategori], tbl_target[Target_Margin], 0)</f>
        <v>0.25</v>
      </c>
      <c r="K346" t="s">
        <v>36</v>
      </c>
      <c r="L346" t="s">
        <v>34</v>
      </c>
      <c r="M346">
        <v>2938563</v>
      </c>
    </row>
    <row r="347" spans="1:13" x14ac:dyDescent="0.3">
      <c r="A347" t="s">
        <v>275</v>
      </c>
      <c r="B347" t="s">
        <v>274</v>
      </c>
      <c r="C347" t="s">
        <v>12</v>
      </c>
      <c r="D347" t="s">
        <v>17</v>
      </c>
      <c r="E347">
        <v>15900000</v>
      </c>
      <c r="F347">
        <v>6571471</v>
      </c>
      <c r="G347">
        <v>9328529</v>
      </c>
      <c r="H347" s="5">
        <f>IFERROR((tbl_raw[[#This Row],[Revenue]]-tbl_raw[[#This Row],[COGS]]) / tbl_raw[[#This Row],[Revenue]], 0)</f>
        <v>0.58669993710691826</v>
      </c>
      <c r="I347" s="5" t="str" cm="1">
        <f t="array" ref="I34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47" s="5">
        <f>_xlfn.XLOOKUP(tbl_raw[[#This Row],[Kategori]], tbl_target[Kategori], tbl_target[Target_Margin], 0)</f>
        <v>0.25</v>
      </c>
      <c r="K347" t="s">
        <v>18</v>
      </c>
      <c r="L347" t="s">
        <v>41</v>
      </c>
      <c r="M347">
        <v>13814249</v>
      </c>
    </row>
    <row r="348" spans="1:13" x14ac:dyDescent="0.3">
      <c r="A348" t="s">
        <v>275</v>
      </c>
      <c r="B348" t="s">
        <v>274</v>
      </c>
      <c r="C348" t="s">
        <v>12</v>
      </c>
      <c r="D348" t="s">
        <v>32</v>
      </c>
      <c r="E348">
        <v>13100000</v>
      </c>
      <c r="F348">
        <v>5058710</v>
      </c>
      <c r="G348">
        <v>8041290</v>
      </c>
      <c r="H348" s="5">
        <f>IFERROR((tbl_raw[[#This Row],[Revenue]]-tbl_raw[[#This Row],[COGS]]) / tbl_raw[[#This Row],[Revenue]], 0)</f>
        <v>0.61383893129770994</v>
      </c>
      <c r="I348" s="5" t="str" cm="1">
        <f t="array" ref="I34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48" s="5">
        <f>_xlfn.XLOOKUP(tbl_raw[[#This Row],[Kategori]], tbl_target[Kategori], tbl_target[Target_Margin], 0)</f>
        <v>0.25</v>
      </c>
      <c r="K348" t="s">
        <v>22</v>
      </c>
      <c r="L348" t="s">
        <v>34</v>
      </c>
      <c r="M348">
        <v>11295929</v>
      </c>
    </row>
    <row r="349" spans="1:13" x14ac:dyDescent="0.3">
      <c r="A349" t="s">
        <v>276</v>
      </c>
      <c r="B349" t="s">
        <v>274</v>
      </c>
      <c r="C349" t="s">
        <v>23</v>
      </c>
      <c r="D349" t="s">
        <v>58</v>
      </c>
      <c r="E349">
        <v>8400000</v>
      </c>
      <c r="F349">
        <v>5035558</v>
      </c>
      <c r="G349">
        <v>3364442</v>
      </c>
      <c r="H349" s="5">
        <f>IFERROR((tbl_raw[[#This Row],[Revenue]]-tbl_raw[[#This Row],[COGS]]) / tbl_raw[[#This Row],[Revenue]], 0)</f>
        <v>0.40052880952380954</v>
      </c>
      <c r="I349" s="5" t="str" cm="1">
        <f t="array" ref="I34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49" s="5">
        <f>_xlfn.XLOOKUP(tbl_raw[[#This Row],[Kategori]], tbl_target[Kategori], tbl_target[Target_Margin], 0)</f>
        <v>0.35</v>
      </c>
      <c r="K349" t="s">
        <v>22</v>
      </c>
      <c r="L349" t="s">
        <v>31</v>
      </c>
      <c r="M349">
        <v>9624541</v>
      </c>
    </row>
    <row r="350" spans="1:13" x14ac:dyDescent="0.3">
      <c r="A350" t="s">
        <v>277</v>
      </c>
      <c r="B350" t="s">
        <v>274</v>
      </c>
      <c r="C350" t="s">
        <v>12</v>
      </c>
      <c r="D350" t="s">
        <v>32</v>
      </c>
      <c r="E350">
        <v>17500000</v>
      </c>
      <c r="F350">
        <v>7870113</v>
      </c>
      <c r="G350">
        <v>9629887</v>
      </c>
      <c r="H350" s="5">
        <f>IFERROR((tbl_raw[[#This Row],[Revenue]]-tbl_raw[[#This Row],[COGS]]) / tbl_raw[[#This Row],[Revenue]], 0)</f>
        <v>0.55027925714285719</v>
      </c>
      <c r="I350" s="5" t="str" cm="1">
        <f t="array" ref="I35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50" s="5">
        <f>_xlfn.XLOOKUP(tbl_raw[[#This Row],[Kategori]], tbl_target[Kategori], tbl_target[Target_Margin], 0)</f>
        <v>0.25</v>
      </c>
      <c r="K350" t="s">
        <v>48</v>
      </c>
      <c r="L350" t="s">
        <v>25</v>
      </c>
      <c r="M350">
        <v>20328942</v>
      </c>
    </row>
    <row r="351" spans="1:13" x14ac:dyDescent="0.3">
      <c r="A351" t="s">
        <v>278</v>
      </c>
      <c r="B351" t="s">
        <v>274</v>
      </c>
      <c r="C351" t="s">
        <v>20</v>
      </c>
      <c r="D351" t="s">
        <v>21</v>
      </c>
      <c r="E351">
        <v>10900000</v>
      </c>
      <c r="F351">
        <v>5742339</v>
      </c>
      <c r="G351">
        <v>5157661</v>
      </c>
      <c r="H351" s="5">
        <f>IFERROR((tbl_raw[[#This Row],[Revenue]]-tbl_raw[[#This Row],[COGS]]) / tbl_raw[[#This Row],[Revenue]], 0)</f>
        <v>0.47317990825688072</v>
      </c>
      <c r="I351" s="5" t="str" cm="1">
        <f t="array" ref="I35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51" s="5">
        <f>_xlfn.XLOOKUP(tbl_raw[[#This Row],[Kategori]], tbl_target[Kategori], tbl_target[Target_Margin], 0)</f>
        <v>0.4</v>
      </c>
      <c r="K351" t="s">
        <v>18</v>
      </c>
      <c r="L351" t="s">
        <v>28</v>
      </c>
      <c r="M351">
        <v>9441253</v>
      </c>
    </row>
    <row r="352" spans="1:13" x14ac:dyDescent="0.3">
      <c r="A352" t="s">
        <v>278</v>
      </c>
      <c r="B352" t="s">
        <v>274</v>
      </c>
      <c r="C352" t="s">
        <v>20</v>
      </c>
      <c r="D352" t="s">
        <v>30</v>
      </c>
      <c r="E352">
        <v>9100000</v>
      </c>
      <c r="F352">
        <v>3725650</v>
      </c>
      <c r="G352">
        <v>5374350</v>
      </c>
      <c r="H352" s="5">
        <f>IFERROR((tbl_raw[[#This Row],[Revenue]]-tbl_raw[[#This Row],[COGS]]) / tbl_raw[[#This Row],[Revenue]], 0)</f>
        <v>0.59058791208791206</v>
      </c>
      <c r="I352" s="5" t="str" cm="1">
        <f t="array" ref="I35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52" s="5">
        <f>_xlfn.XLOOKUP(tbl_raw[[#This Row],[Kategori]], tbl_target[Kategori], tbl_target[Target_Margin], 0)</f>
        <v>0.4</v>
      </c>
      <c r="K352" t="s">
        <v>36</v>
      </c>
      <c r="L352" t="s">
        <v>34</v>
      </c>
      <c r="M352">
        <v>11536945</v>
      </c>
    </row>
    <row r="353" spans="1:13" x14ac:dyDescent="0.3">
      <c r="A353" t="s">
        <v>279</v>
      </c>
      <c r="B353" t="s">
        <v>274</v>
      </c>
      <c r="C353" t="s">
        <v>23</v>
      </c>
      <c r="D353" t="s">
        <v>58</v>
      </c>
      <c r="E353">
        <v>18900000</v>
      </c>
      <c r="F353">
        <v>8387012</v>
      </c>
      <c r="G353">
        <v>10512988</v>
      </c>
      <c r="H353" s="5">
        <f>IFERROR((tbl_raw[[#This Row],[Revenue]]-tbl_raw[[#This Row],[COGS]]) / tbl_raw[[#This Row],[Revenue]], 0)</f>
        <v>0.55624275132275136</v>
      </c>
      <c r="I353" s="5" t="str" cm="1">
        <f t="array" ref="I35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53" s="5">
        <f>_xlfn.XLOOKUP(tbl_raw[[#This Row],[Kategori]], tbl_target[Kategori], tbl_target[Target_Margin], 0)</f>
        <v>0.35</v>
      </c>
      <c r="K353" t="s">
        <v>36</v>
      </c>
      <c r="L353" t="s">
        <v>19</v>
      </c>
      <c r="M353">
        <v>15360646</v>
      </c>
    </row>
    <row r="354" spans="1:13" x14ac:dyDescent="0.3">
      <c r="A354" t="s">
        <v>279</v>
      </c>
      <c r="B354" t="s">
        <v>274</v>
      </c>
      <c r="C354" t="s">
        <v>23</v>
      </c>
      <c r="D354" t="s">
        <v>24</v>
      </c>
      <c r="E354">
        <v>18300000</v>
      </c>
      <c r="F354">
        <v>8696936</v>
      </c>
      <c r="G354">
        <v>9603064</v>
      </c>
      <c r="H354" s="5">
        <f>IFERROR((tbl_raw[[#This Row],[Revenue]]-tbl_raw[[#This Row],[COGS]]) / tbl_raw[[#This Row],[Revenue]], 0)</f>
        <v>0.52475759562841529</v>
      </c>
      <c r="I354" s="5" t="str" cm="1">
        <f t="array" ref="I35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54" s="5">
        <f>_xlfn.XLOOKUP(tbl_raw[[#This Row],[Kategori]], tbl_target[Kategori], tbl_target[Target_Margin], 0)</f>
        <v>0.35</v>
      </c>
      <c r="K354" t="s">
        <v>18</v>
      </c>
      <c r="L354" t="s">
        <v>19</v>
      </c>
      <c r="M354">
        <v>16272859</v>
      </c>
    </row>
    <row r="355" spans="1:13" x14ac:dyDescent="0.3">
      <c r="A355" t="s">
        <v>279</v>
      </c>
      <c r="B355" t="s">
        <v>274</v>
      </c>
      <c r="C355" t="s">
        <v>12</v>
      </c>
      <c r="D355" t="s">
        <v>17</v>
      </c>
      <c r="E355">
        <v>2200000</v>
      </c>
      <c r="F355">
        <v>1059205</v>
      </c>
      <c r="G355">
        <v>1140795</v>
      </c>
      <c r="H355" s="5">
        <f>IFERROR((tbl_raw[[#This Row],[Revenue]]-tbl_raw[[#This Row],[COGS]]) / tbl_raw[[#This Row],[Revenue]], 0)</f>
        <v>0.51854318181818182</v>
      </c>
      <c r="I355" s="5" t="str" cm="1">
        <f t="array" ref="I35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55" s="5">
        <f>_xlfn.XLOOKUP(tbl_raw[[#This Row],[Kategori]], tbl_target[Kategori], tbl_target[Target_Margin], 0)</f>
        <v>0.25</v>
      </c>
      <c r="K355" t="s">
        <v>48</v>
      </c>
      <c r="L355" t="s">
        <v>31</v>
      </c>
      <c r="M355">
        <v>2645923</v>
      </c>
    </row>
    <row r="356" spans="1:13" x14ac:dyDescent="0.3">
      <c r="A356" t="s">
        <v>280</v>
      </c>
      <c r="B356" t="s">
        <v>274</v>
      </c>
      <c r="C356" t="s">
        <v>12</v>
      </c>
      <c r="D356" t="s">
        <v>13</v>
      </c>
      <c r="E356">
        <v>17800000</v>
      </c>
      <c r="F356">
        <v>9693792</v>
      </c>
      <c r="G356">
        <v>8106208</v>
      </c>
      <c r="H356" s="5">
        <f>IFERROR((tbl_raw[[#This Row],[Revenue]]-tbl_raw[[#This Row],[COGS]]) / tbl_raw[[#This Row],[Revenue]], 0)</f>
        <v>0.45540494382022473</v>
      </c>
      <c r="I356" s="5" t="str" cm="1">
        <f t="array" ref="I35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56" s="5">
        <f>_xlfn.XLOOKUP(tbl_raw[[#This Row],[Kategori]], tbl_target[Kategori], tbl_target[Target_Margin], 0)</f>
        <v>0.25</v>
      </c>
      <c r="K356" t="s">
        <v>18</v>
      </c>
      <c r="L356" t="s">
        <v>34</v>
      </c>
      <c r="M356">
        <v>17337485</v>
      </c>
    </row>
    <row r="357" spans="1:13" x14ac:dyDescent="0.3">
      <c r="A357" t="s">
        <v>281</v>
      </c>
      <c r="B357" t="s">
        <v>274</v>
      </c>
      <c r="C357" t="s">
        <v>23</v>
      </c>
      <c r="D357" t="s">
        <v>24</v>
      </c>
      <c r="E357">
        <v>800000</v>
      </c>
      <c r="F357">
        <v>302550</v>
      </c>
      <c r="G357">
        <v>497450</v>
      </c>
      <c r="H357" s="5">
        <f>IFERROR((tbl_raw[[#This Row],[Revenue]]-tbl_raw[[#This Row],[COGS]]) / tbl_raw[[#This Row],[Revenue]], 0)</f>
        <v>0.62181249999999999</v>
      </c>
      <c r="I357" s="5" t="str" cm="1">
        <f t="array" ref="I35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57" s="5">
        <f>_xlfn.XLOOKUP(tbl_raw[[#This Row],[Kategori]], tbl_target[Kategori], tbl_target[Target_Margin], 0)</f>
        <v>0.35</v>
      </c>
      <c r="K357" t="s">
        <v>14</v>
      </c>
      <c r="L357" t="s">
        <v>49</v>
      </c>
      <c r="M357">
        <v>906364</v>
      </c>
    </row>
    <row r="358" spans="1:13" x14ac:dyDescent="0.3">
      <c r="A358" t="s">
        <v>282</v>
      </c>
      <c r="B358" t="s">
        <v>274</v>
      </c>
      <c r="C358" t="s">
        <v>23</v>
      </c>
      <c r="D358" t="s">
        <v>27</v>
      </c>
      <c r="E358">
        <v>15100000</v>
      </c>
      <c r="F358">
        <v>8310500</v>
      </c>
      <c r="G358">
        <v>6789500</v>
      </c>
      <c r="H358" s="5">
        <f>IFERROR((tbl_raw[[#This Row],[Revenue]]-tbl_raw[[#This Row],[COGS]]) / tbl_raw[[#This Row],[Revenue]], 0)</f>
        <v>0.44963576158940399</v>
      </c>
      <c r="I358" s="5" t="str" cm="1">
        <f t="array" ref="I35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58" s="5">
        <f>_xlfn.XLOOKUP(tbl_raw[[#This Row],[Kategori]], tbl_target[Kategori], tbl_target[Target_Margin], 0)</f>
        <v>0.35</v>
      </c>
      <c r="K358" t="s">
        <v>22</v>
      </c>
      <c r="L358" t="s">
        <v>49</v>
      </c>
      <c r="M358">
        <v>17960518</v>
      </c>
    </row>
    <row r="359" spans="1:13" x14ac:dyDescent="0.3">
      <c r="A359" t="s">
        <v>283</v>
      </c>
      <c r="B359" t="s">
        <v>274</v>
      </c>
      <c r="C359" t="s">
        <v>12</v>
      </c>
      <c r="D359" t="s">
        <v>13</v>
      </c>
      <c r="E359">
        <v>18700000</v>
      </c>
      <c r="F359">
        <v>8601352</v>
      </c>
      <c r="G359">
        <v>10098648</v>
      </c>
      <c r="H359" s="5">
        <f>IFERROR((tbl_raw[[#This Row],[Revenue]]-tbl_raw[[#This Row],[COGS]]) / tbl_raw[[#This Row],[Revenue]], 0)</f>
        <v>0.54003465240641713</v>
      </c>
      <c r="I359" s="5" t="str" cm="1">
        <f t="array" ref="I35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59" s="5">
        <f>_xlfn.XLOOKUP(tbl_raw[[#This Row],[Kategori]], tbl_target[Kategori], tbl_target[Target_Margin], 0)</f>
        <v>0.25</v>
      </c>
      <c r="K359" t="s">
        <v>18</v>
      </c>
      <c r="L359" t="s">
        <v>15</v>
      </c>
      <c r="M359">
        <v>21715781</v>
      </c>
    </row>
    <row r="360" spans="1:13" x14ac:dyDescent="0.3">
      <c r="A360" t="s">
        <v>284</v>
      </c>
      <c r="B360" t="s">
        <v>274</v>
      </c>
      <c r="C360" t="s">
        <v>20</v>
      </c>
      <c r="D360" t="s">
        <v>21</v>
      </c>
      <c r="E360">
        <v>1100000</v>
      </c>
      <c r="F360">
        <v>573785</v>
      </c>
      <c r="G360">
        <v>526215</v>
      </c>
      <c r="H360" s="5">
        <f>IFERROR((tbl_raw[[#This Row],[Revenue]]-tbl_raw[[#This Row],[COGS]]) / tbl_raw[[#This Row],[Revenue]], 0)</f>
        <v>0.47837727272727271</v>
      </c>
      <c r="I360" s="5" t="str" cm="1">
        <f t="array" ref="I36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60" s="5">
        <f>_xlfn.XLOOKUP(tbl_raw[[#This Row],[Kategori]], tbl_target[Kategori], tbl_target[Target_Margin], 0)</f>
        <v>0.4</v>
      </c>
      <c r="K360" t="s">
        <v>22</v>
      </c>
      <c r="L360" t="s">
        <v>41</v>
      </c>
      <c r="M360">
        <v>1189820</v>
      </c>
    </row>
    <row r="361" spans="1:13" x14ac:dyDescent="0.3">
      <c r="A361" t="s">
        <v>285</v>
      </c>
      <c r="B361" t="s">
        <v>274</v>
      </c>
      <c r="C361" t="s">
        <v>23</v>
      </c>
      <c r="D361" t="s">
        <v>58</v>
      </c>
      <c r="E361">
        <v>13400000</v>
      </c>
      <c r="F361">
        <v>4903225</v>
      </c>
      <c r="G361">
        <v>8496775</v>
      </c>
      <c r="H361" s="5">
        <f>IFERROR((tbl_raw[[#This Row],[Revenue]]-tbl_raw[[#This Row],[COGS]]) / tbl_raw[[#This Row],[Revenue]], 0)</f>
        <v>0.63408768656716419</v>
      </c>
      <c r="I361" s="5" t="str" cm="1">
        <f t="array" ref="I36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61" s="5">
        <f>_xlfn.XLOOKUP(tbl_raw[[#This Row],[Kategori]], tbl_target[Kategori], tbl_target[Target_Margin], 0)</f>
        <v>0.35</v>
      </c>
      <c r="K361" t="s">
        <v>48</v>
      </c>
      <c r="L361" t="s">
        <v>19</v>
      </c>
      <c r="M361">
        <v>11952553</v>
      </c>
    </row>
    <row r="362" spans="1:13" x14ac:dyDescent="0.3">
      <c r="A362" t="s">
        <v>285</v>
      </c>
      <c r="B362" t="s">
        <v>274</v>
      </c>
      <c r="C362" t="s">
        <v>23</v>
      </c>
      <c r="D362" t="s">
        <v>58</v>
      </c>
      <c r="E362">
        <v>19900000</v>
      </c>
      <c r="F362">
        <v>11471730</v>
      </c>
      <c r="G362">
        <v>8428270</v>
      </c>
      <c r="H362" s="5">
        <f>IFERROR((tbl_raw[[#This Row],[Revenue]]-tbl_raw[[#This Row],[COGS]]) / tbl_raw[[#This Row],[Revenue]], 0)</f>
        <v>0.4235311557788945</v>
      </c>
      <c r="I362" s="5" t="str" cm="1">
        <f t="array" ref="I36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62" s="5">
        <f>_xlfn.XLOOKUP(tbl_raw[[#This Row],[Kategori]], tbl_target[Kategori], tbl_target[Target_Margin], 0)</f>
        <v>0.35</v>
      </c>
      <c r="K362" t="s">
        <v>14</v>
      </c>
      <c r="L362" t="s">
        <v>31</v>
      </c>
      <c r="M362">
        <v>20644974</v>
      </c>
    </row>
    <row r="363" spans="1:13" x14ac:dyDescent="0.3">
      <c r="A363" t="s">
        <v>285</v>
      </c>
      <c r="B363" t="s">
        <v>274</v>
      </c>
      <c r="C363" t="s">
        <v>12</v>
      </c>
      <c r="D363" t="s">
        <v>17</v>
      </c>
      <c r="E363">
        <v>14200000</v>
      </c>
      <c r="F363">
        <v>5017602</v>
      </c>
      <c r="G363">
        <v>9182398</v>
      </c>
      <c r="H363" s="5">
        <f>IFERROR((tbl_raw[[#This Row],[Revenue]]-tbl_raw[[#This Row],[COGS]]) / tbl_raw[[#This Row],[Revenue]], 0)</f>
        <v>0.64664774647887324</v>
      </c>
      <c r="I363" s="5" t="str" cm="1">
        <f t="array" ref="I36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63" s="5">
        <f>_xlfn.XLOOKUP(tbl_raw[[#This Row],[Kategori]], tbl_target[Kategori], tbl_target[Target_Margin], 0)</f>
        <v>0.25</v>
      </c>
      <c r="K363" t="s">
        <v>18</v>
      </c>
      <c r="L363" t="s">
        <v>31</v>
      </c>
      <c r="M363">
        <v>12629747</v>
      </c>
    </row>
    <row r="364" spans="1:13" x14ac:dyDescent="0.3">
      <c r="A364" t="s">
        <v>286</v>
      </c>
      <c r="B364" t="s">
        <v>274</v>
      </c>
      <c r="C364" t="s">
        <v>12</v>
      </c>
      <c r="D364" t="s">
        <v>17</v>
      </c>
      <c r="E364">
        <v>19900000</v>
      </c>
      <c r="F364">
        <v>8102186</v>
      </c>
      <c r="G364">
        <v>11797814</v>
      </c>
      <c r="H364" s="5">
        <f>IFERROR((tbl_raw[[#This Row],[Revenue]]-tbl_raw[[#This Row],[COGS]]) / tbl_raw[[#This Row],[Revenue]], 0)</f>
        <v>0.59285497487437189</v>
      </c>
      <c r="I364" s="5" t="str" cm="1">
        <f t="array" ref="I36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64" s="5">
        <f>_xlfn.XLOOKUP(tbl_raw[[#This Row],[Kategori]], tbl_target[Kategori], tbl_target[Target_Margin], 0)</f>
        <v>0.25</v>
      </c>
      <c r="K364" t="s">
        <v>48</v>
      </c>
      <c r="L364" t="s">
        <v>31</v>
      </c>
      <c r="M364">
        <v>22955690</v>
      </c>
    </row>
    <row r="365" spans="1:13" x14ac:dyDescent="0.3">
      <c r="A365" t="s">
        <v>287</v>
      </c>
      <c r="B365" t="s">
        <v>274</v>
      </c>
      <c r="C365" t="s">
        <v>23</v>
      </c>
      <c r="D365" t="s">
        <v>58</v>
      </c>
      <c r="E365">
        <v>18600000</v>
      </c>
      <c r="F365">
        <v>8767298</v>
      </c>
      <c r="G365">
        <v>9832702</v>
      </c>
      <c r="H365" s="5">
        <f>IFERROR((tbl_raw[[#This Row],[Revenue]]-tbl_raw[[#This Row],[COGS]]) / tbl_raw[[#This Row],[Revenue]], 0)</f>
        <v>0.52863989247311827</v>
      </c>
      <c r="I365" s="5" t="str" cm="1">
        <f t="array" ref="I36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65" s="5">
        <f>_xlfn.XLOOKUP(tbl_raw[[#This Row],[Kategori]], tbl_target[Kategori], tbl_target[Target_Margin], 0)</f>
        <v>0.35</v>
      </c>
      <c r="K365" t="s">
        <v>36</v>
      </c>
      <c r="L365" t="s">
        <v>19</v>
      </c>
      <c r="M365">
        <v>18014111</v>
      </c>
    </row>
    <row r="366" spans="1:13" x14ac:dyDescent="0.3">
      <c r="A366" t="s">
        <v>287</v>
      </c>
      <c r="B366" t="s">
        <v>274</v>
      </c>
      <c r="C366" t="s">
        <v>20</v>
      </c>
      <c r="D366" t="s">
        <v>40</v>
      </c>
      <c r="E366">
        <v>19600000</v>
      </c>
      <c r="F366">
        <v>8293818</v>
      </c>
      <c r="G366">
        <v>11306182</v>
      </c>
      <c r="H366" s="5">
        <f>IFERROR((tbl_raw[[#This Row],[Revenue]]-tbl_raw[[#This Row],[COGS]]) / tbl_raw[[#This Row],[Revenue]], 0)</f>
        <v>0.57684602040816324</v>
      </c>
      <c r="I366" s="5" t="str" cm="1">
        <f t="array" ref="I36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66" s="5">
        <f>_xlfn.XLOOKUP(tbl_raw[[#This Row],[Kategori]], tbl_target[Kategori], tbl_target[Target_Margin], 0)</f>
        <v>0.4</v>
      </c>
      <c r="K366" t="s">
        <v>36</v>
      </c>
      <c r="L366" t="s">
        <v>31</v>
      </c>
      <c r="M366">
        <v>19706694</v>
      </c>
    </row>
    <row r="367" spans="1:13" x14ac:dyDescent="0.3">
      <c r="A367" t="s">
        <v>288</v>
      </c>
      <c r="B367" t="s">
        <v>274</v>
      </c>
      <c r="C367" t="s">
        <v>20</v>
      </c>
      <c r="D367" t="s">
        <v>21</v>
      </c>
      <c r="E367">
        <v>900000</v>
      </c>
      <c r="F367">
        <v>452223</v>
      </c>
      <c r="G367">
        <v>447777</v>
      </c>
      <c r="H367" s="5">
        <f>IFERROR((tbl_raw[[#This Row],[Revenue]]-tbl_raw[[#This Row],[COGS]]) / tbl_raw[[#This Row],[Revenue]], 0)</f>
        <v>0.49752999999999997</v>
      </c>
      <c r="I367" s="5" t="str" cm="1">
        <f t="array" ref="I36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67" s="5">
        <f>_xlfn.XLOOKUP(tbl_raw[[#This Row],[Kategori]], tbl_target[Kategori], tbl_target[Target_Margin], 0)</f>
        <v>0.4</v>
      </c>
      <c r="K367" t="s">
        <v>18</v>
      </c>
      <c r="L367" t="s">
        <v>28</v>
      </c>
      <c r="M367">
        <v>1060194</v>
      </c>
    </row>
    <row r="368" spans="1:13" x14ac:dyDescent="0.3">
      <c r="A368" t="s">
        <v>289</v>
      </c>
      <c r="B368" t="s">
        <v>290</v>
      </c>
      <c r="C368" t="s">
        <v>20</v>
      </c>
      <c r="D368" t="s">
        <v>30</v>
      </c>
      <c r="E368">
        <v>6200000</v>
      </c>
      <c r="F368">
        <v>3351373</v>
      </c>
      <c r="G368">
        <v>2848627</v>
      </c>
      <c r="H368" s="5">
        <f>IFERROR((tbl_raw[[#This Row],[Revenue]]-tbl_raw[[#This Row],[COGS]]) / tbl_raw[[#This Row],[Revenue]], 0)</f>
        <v>0.45945596774193548</v>
      </c>
      <c r="I368" s="5" t="str" cm="1">
        <f t="array" ref="I36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68" s="5">
        <f>_xlfn.XLOOKUP(tbl_raw[[#This Row],[Kategori]], tbl_target[Kategori], tbl_target[Target_Margin], 0)</f>
        <v>0.4</v>
      </c>
      <c r="K368" t="s">
        <v>14</v>
      </c>
      <c r="L368" t="s">
        <v>31</v>
      </c>
      <c r="M368">
        <v>5069105</v>
      </c>
    </row>
    <row r="369" spans="1:13" x14ac:dyDescent="0.3">
      <c r="A369" t="s">
        <v>291</v>
      </c>
      <c r="B369" t="s">
        <v>290</v>
      </c>
      <c r="C369" t="s">
        <v>20</v>
      </c>
      <c r="D369" t="s">
        <v>21</v>
      </c>
      <c r="E369">
        <v>12600000</v>
      </c>
      <c r="F369">
        <v>5884213</v>
      </c>
      <c r="G369">
        <v>6715787</v>
      </c>
      <c r="H369" s="5">
        <f>IFERROR((tbl_raw[[#This Row],[Revenue]]-tbl_raw[[#This Row],[COGS]]) / tbl_raw[[#This Row],[Revenue]], 0)</f>
        <v>0.53299896825396831</v>
      </c>
      <c r="I369" s="5" t="str" cm="1">
        <f t="array" ref="I36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69" s="5">
        <f>_xlfn.XLOOKUP(tbl_raw[[#This Row],[Kategori]], tbl_target[Kategori], tbl_target[Target_Margin], 0)</f>
        <v>0.4</v>
      </c>
      <c r="K369" t="s">
        <v>18</v>
      </c>
      <c r="L369" t="s">
        <v>49</v>
      </c>
      <c r="M369">
        <v>10937555</v>
      </c>
    </row>
    <row r="370" spans="1:13" x14ac:dyDescent="0.3">
      <c r="A370" t="s">
        <v>291</v>
      </c>
      <c r="B370" t="s">
        <v>290</v>
      </c>
      <c r="C370" t="s">
        <v>12</v>
      </c>
      <c r="D370" t="s">
        <v>17</v>
      </c>
      <c r="E370">
        <v>12700000</v>
      </c>
      <c r="F370">
        <v>5145295</v>
      </c>
      <c r="G370">
        <v>7554705</v>
      </c>
      <c r="H370" s="5">
        <f>IFERROR((tbl_raw[[#This Row],[Revenue]]-tbl_raw[[#This Row],[COGS]]) / tbl_raw[[#This Row],[Revenue]], 0)</f>
        <v>0.5948586614173228</v>
      </c>
      <c r="I370" s="5" t="str" cm="1">
        <f t="array" ref="I37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70" s="5">
        <f>_xlfn.XLOOKUP(tbl_raw[[#This Row],[Kategori]], tbl_target[Kategori], tbl_target[Target_Margin], 0)</f>
        <v>0.25</v>
      </c>
      <c r="K370" t="s">
        <v>22</v>
      </c>
      <c r="L370" t="s">
        <v>25</v>
      </c>
      <c r="M370">
        <v>15905521</v>
      </c>
    </row>
    <row r="371" spans="1:13" x14ac:dyDescent="0.3">
      <c r="A371" t="s">
        <v>292</v>
      </c>
      <c r="B371" t="s">
        <v>290</v>
      </c>
      <c r="C371" t="s">
        <v>23</v>
      </c>
      <c r="D371" t="s">
        <v>27</v>
      </c>
      <c r="E371">
        <v>18700000</v>
      </c>
      <c r="F371">
        <v>10953202</v>
      </c>
      <c r="G371">
        <v>7746798</v>
      </c>
      <c r="H371" s="5">
        <f>IFERROR((tbl_raw[[#This Row],[Revenue]]-tbl_raw[[#This Row],[COGS]]) / tbl_raw[[#This Row],[Revenue]], 0)</f>
        <v>0.41426727272727271</v>
      </c>
      <c r="I371" s="5" t="str" cm="1">
        <f t="array" ref="I37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71" s="5">
        <f>_xlfn.XLOOKUP(tbl_raw[[#This Row],[Kategori]], tbl_target[Kategori], tbl_target[Target_Margin], 0)</f>
        <v>0.35</v>
      </c>
      <c r="K371" t="s">
        <v>36</v>
      </c>
      <c r="L371" t="s">
        <v>34</v>
      </c>
      <c r="M371">
        <v>23238822</v>
      </c>
    </row>
    <row r="372" spans="1:13" x14ac:dyDescent="0.3">
      <c r="A372" t="s">
        <v>292</v>
      </c>
      <c r="B372" t="s">
        <v>290</v>
      </c>
      <c r="C372" t="s">
        <v>23</v>
      </c>
      <c r="D372" t="s">
        <v>27</v>
      </c>
      <c r="E372">
        <v>14400000</v>
      </c>
      <c r="F372">
        <v>8497708</v>
      </c>
      <c r="G372">
        <v>5902292</v>
      </c>
      <c r="H372" s="5">
        <f>IFERROR((tbl_raw[[#This Row],[Revenue]]-tbl_raw[[#This Row],[COGS]]) / tbl_raw[[#This Row],[Revenue]], 0)</f>
        <v>0.40988138888888886</v>
      </c>
      <c r="I372" s="5" t="str" cm="1">
        <f t="array" ref="I37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72" s="5">
        <f>_xlfn.XLOOKUP(tbl_raw[[#This Row],[Kategori]], tbl_target[Kategori], tbl_target[Target_Margin], 0)</f>
        <v>0.35</v>
      </c>
      <c r="K372" t="s">
        <v>22</v>
      </c>
      <c r="L372" t="s">
        <v>19</v>
      </c>
      <c r="M372">
        <v>18171152</v>
      </c>
    </row>
    <row r="373" spans="1:13" x14ac:dyDescent="0.3">
      <c r="A373" t="s">
        <v>293</v>
      </c>
      <c r="B373" t="s">
        <v>290</v>
      </c>
      <c r="C373" t="s">
        <v>20</v>
      </c>
      <c r="D373" t="s">
        <v>40</v>
      </c>
      <c r="E373">
        <v>9800000</v>
      </c>
      <c r="F373">
        <v>3466338</v>
      </c>
      <c r="G373">
        <v>6333662</v>
      </c>
      <c r="H373" s="5">
        <f>IFERROR((tbl_raw[[#This Row],[Revenue]]-tbl_raw[[#This Row],[COGS]]) / tbl_raw[[#This Row],[Revenue]], 0)</f>
        <v>0.64629204081632652</v>
      </c>
      <c r="I373" s="5" t="str" cm="1">
        <f t="array" ref="I37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73" s="5">
        <f>_xlfn.XLOOKUP(tbl_raw[[#This Row],[Kategori]], tbl_target[Kategori], tbl_target[Target_Margin], 0)</f>
        <v>0.4</v>
      </c>
      <c r="K373" t="s">
        <v>36</v>
      </c>
      <c r="L373" t="s">
        <v>31</v>
      </c>
      <c r="M373">
        <v>9481749</v>
      </c>
    </row>
    <row r="374" spans="1:13" x14ac:dyDescent="0.3">
      <c r="A374" t="s">
        <v>294</v>
      </c>
      <c r="B374" t="s">
        <v>290</v>
      </c>
      <c r="C374" t="s">
        <v>12</v>
      </c>
      <c r="D374" t="s">
        <v>17</v>
      </c>
      <c r="E374">
        <v>14000000</v>
      </c>
      <c r="F374">
        <v>5702272</v>
      </c>
      <c r="G374">
        <v>8297728</v>
      </c>
      <c r="H374" s="5">
        <f>IFERROR((tbl_raw[[#This Row],[Revenue]]-tbl_raw[[#This Row],[COGS]]) / tbl_raw[[#This Row],[Revenue]], 0)</f>
        <v>0.59269485714285719</v>
      </c>
      <c r="I374" s="5" t="str" cm="1">
        <f t="array" ref="I37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74" s="5">
        <f>_xlfn.XLOOKUP(tbl_raw[[#This Row],[Kategori]], tbl_target[Kategori], tbl_target[Target_Margin], 0)</f>
        <v>0.25</v>
      </c>
      <c r="K374" t="s">
        <v>36</v>
      </c>
      <c r="L374" t="s">
        <v>25</v>
      </c>
      <c r="M374">
        <v>12752606</v>
      </c>
    </row>
    <row r="375" spans="1:13" x14ac:dyDescent="0.3">
      <c r="A375" t="s">
        <v>294</v>
      </c>
      <c r="B375" t="s">
        <v>290</v>
      </c>
      <c r="C375" t="s">
        <v>20</v>
      </c>
      <c r="D375" t="s">
        <v>40</v>
      </c>
      <c r="E375">
        <v>18700000</v>
      </c>
      <c r="F375">
        <v>9993337</v>
      </c>
      <c r="G375">
        <v>8706663</v>
      </c>
      <c r="H375" s="5">
        <f>IFERROR((tbl_raw[[#This Row],[Revenue]]-tbl_raw[[#This Row],[COGS]]) / tbl_raw[[#This Row],[Revenue]], 0)</f>
        <v>0.46559695187165773</v>
      </c>
      <c r="I375" s="5" t="str" cm="1">
        <f t="array" ref="I37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75" s="5">
        <f>_xlfn.XLOOKUP(tbl_raw[[#This Row],[Kategori]], tbl_target[Kategori], tbl_target[Target_Margin], 0)</f>
        <v>0.4</v>
      </c>
      <c r="K375" t="s">
        <v>14</v>
      </c>
      <c r="L375" t="s">
        <v>15</v>
      </c>
      <c r="M375">
        <v>16224289</v>
      </c>
    </row>
    <row r="376" spans="1:13" x14ac:dyDescent="0.3">
      <c r="A376" t="s">
        <v>295</v>
      </c>
      <c r="B376" t="s">
        <v>290</v>
      </c>
      <c r="C376" t="s">
        <v>23</v>
      </c>
      <c r="D376" t="s">
        <v>58</v>
      </c>
      <c r="E376">
        <v>16100000</v>
      </c>
      <c r="F376">
        <v>9000195</v>
      </c>
      <c r="G376">
        <v>7099805</v>
      </c>
      <c r="H376" s="5">
        <f>IFERROR((tbl_raw[[#This Row],[Revenue]]-tbl_raw[[#This Row],[COGS]]) / tbl_raw[[#This Row],[Revenue]], 0)</f>
        <v>0.44098167701863356</v>
      </c>
      <c r="I376" s="5" t="str" cm="1">
        <f t="array" ref="I37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76" s="5">
        <f>_xlfn.XLOOKUP(tbl_raw[[#This Row],[Kategori]], tbl_target[Kategori], tbl_target[Target_Margin], 0)</f>
        <v>0.35</v>
      </c>
      <c r="K376" t="s">
        <v>18</v>
      </c>
      <c r="L376" t="s">
        <v>19</v>
      </c>
      <c r="M376">
        <v>13157998</v>
      </c>
    </row>
    <row r="377" spans="1:13" x14ac:dyDescent="0.3">
      <c r="A377" t="s">
        <v>296</v>
      </c>
      <c r="B377" t="s">
        <v>290</v>
      </c>
      <c r="C377" t="s">
        <v>12</v>
      </c>
      <c r="D377" t="s">
        <v>17</v>
      </c>
      <c r="E377">
        <v>15100000</v>
      </c>
      <c r="F377">
        <v>7099930</v>
      </c>
      <c r="G377">
        <v>8000070</v>
      </c>
      <c r="H377" s="5">
        <f>IFERROR((tbl_raw[[#This Row],[Revenue]]-tbl_raw[[#This Row],[COGS]]) / tbl_raw[[#This Row],[Revenue]], 0)</f>
        <v>0.52980596026490068</v>
      </c>
      <c r="I377" s="5" t="str" cm="1">
        <f t="array" ref="I37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77" s="5">
        <f>_xlfn.XLOOKUP(tbl_raw[[#This Row],[Kategori]], tbl_target[Kategori], tbl_target[Target_Margin], 0)</f>
        <v>0.25</v>
      </c>
      <c r="K377" t="s">
        <v>48</v>
      </c>
      <c r="L377" t="s">
        <v>34</v>
      </c>
      <c r="M377">
        <v>18555487</v>
      </c>
    </row>
    <row r="378" spans="1:13" x14ac:dyDescent="0.3">
      <c r="A378" t="s">
        <v>296</v>
      </c>
      <c r="B378" t="s">
        <v>290</v>
      </c>
      <c r="C378" t="s">
        <v>23</v>
      </c>
      <c r="D378" t="s">
        <v>58</v>
      </c>
      <c r="E378">
        <v>3100000</v>
      </c>
      <c r="F378">
        <v>1739882</v>
      </c>
      <c r="G378">
        <v>1360118</v>
      </c>
      <c r="H378" s="5">
        <f>IFERROR((tbl_raw[[#This Row],[Revenue]]-tbl_raw[[#This Row],[COGS]]) / tbl_raw[[#This Row],[Revenue]], 0)</f>
        <v>0.43874774193548388</v>
      </c>
      <c r="I378" s="5" t="str" cm="1">
        <f t="array" ref="I37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78" s="5">
        <f>_xlfn.XLOOKUP(tbl_raw[[#This Row],[Kategori]], tbl_target[Kategori], tbl_target[Target_Margin], 0)</f>
        <v>0.35</v>
      </c>
      <c r="K378" t="s">
        <v>18</v>
      </c>
      <c r="L378" t="s">
        <v>31</v>
      </c>
      <c r="M378">
        <v>3621237</v>
      </c>
    </row>
    <row r="379" spans="1:13" x14ac:dyDescent="0.3">
      <c r="A379" t="s">
        <v>296</v>
      </c>
      <c r="B379" t="s">
        <v>290</v>
      </c>
      <c r="C379" t="s">
        <v>23</v>
      </c>
      <c r="D379" t="s">
        <v>58</v>
      </c>
      <c r="E379">
        <v>1700000</v>
      </c>
      <c r="F379">
        <v>1002420</v>
      </c>
      <c r="G379">
        <v>697580</v>
      </c>
      <c r="H379" s="5">
        <f>IFERROR((tbl_raw[[#This Row],[Revenue]]-tbl_raw[[#This Row],[COGS]]) / tbl_raw[[#This Row],[Revenue]], 0)</f>
        <v>0.41034117647058821</v>
      </c>
      <c r="I379" s="5" t="str" cm="1">
        <f t="array" ref="I37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79" s="5">
        <f>_xlfn.XLOOKUP(tbl_raw[[#This Row],[Kategori]], tbl_target[Kategori], tbl_target[Target_Margin], 0)</f>
        <v>0.35</v>
      </c>
      <c r="K379" t="s">
        <v>18</v>
      </c>
      <c r="L379" t="s">
        <v>34</v>
      </c>
      <c r="M379">
        <v>2042032</v>
      </c>
    </row>
    <row r="380" spans="1:13" x14ac:dyDescent="0.3">
      <c r="A380" t="s">
        <v>297</v>
      </c>
      <c r="B380" t="s">
        <v>290</v>
      </c>
      <c r="C380" t="s">
        <v>12</v>
      </c>
      <c r="D380" t="s">
        <v>13</v>
      </c>
      <c r="E380">
        <v>3200000</v>
      </c>
      <c r="F380">
        <v>1862147</v>
      </c>
      <c r="G380">
        <v>1337853</v>
      </c>
      <c r="H380" s="5">
        <f>IFERROR((tbl_raw[[#This Row],[Revenue]]-tbl_raw[[#This Row],[COGS]]) / tbl_raw[[#This Row],[Revenue]], 0)</f>
        <v>0.41807906249999999</v>
      </c>
      <c r="I380" s="5" t="str" cm="1">
        <f t="array" ref="I38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80" s="5">
        <f>_xlfn.XLOOKUP(tbl_raw[[#This Row],[Kategori]], tbl_target[Kategori], tbl_target[Target_Margin], 0)</f>
        <v>0.25</v>
      </c>
      <c r="K380" t="s">
        <v>36</v>
      </c>
      <c r="L380" t="s">
        <v>15</v>
      </c>
      <c r="M380">
        <v>4008068</v>
      </c>
    </row>
    <row r="381" spans="1:13" x14ac:dyDescent="0.3">
      <c r="A381" t="s">
        <v>298</v>
      </c>
      <c r="B381" t="s">
        <v>290</v>
      </c>
      <c r="C381" t="s">
        <v>20</v>
      </c>
      <c r="D381" t="s">
        <v>40</v>
      </c>
      <c r="E381">
        <v>11500000</v>
      </c>
      <c r="F381">
        <v>5948571</v>
      </c>
      <c r="G381">
        <v>5551429</v>
      </c>
      <c r="H381" s="5">
        <f>IFERROR((tbl_raw[[#This Row],[Revenue]]-tbl_raw[[#This Row],[COGS]]) / tbl_raw[[#This Row],[Revenue]], 0)</f>
        <v>0.48273295652173914</v>
      </c>
      <c r="I381" s="5" t="str" cm="1">
        <f t="array" ref="I38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81" s="5">
        <f>_xlfn.XLOOKUP(tbl_raw[[#This Row],[Kategori]], tbl_target[Kategori], tbl_target[Target_Margin], 0)</f>
        <v>0.4</v>
      </c>
      <c r="K381" t="s">
        <v>14</v>
      </c>
      <c r="L381" t="s">
        <v>15</v>
      </c>
      <c r="M381">
        <v>9347433</v>
      </c>
    </row>
    <row r="382" spans="1:13" x14ac:dyDescent="0.3">
      <c r="A382" t="s">
        <v>298</v>
      </c>
      <c r="B382" t="s">
        <v>290</v>
      </c>
      <c r="C382" t="s">
        <v>12</v>
      </c>
      <c r="D382" t="s">
        <v>17</v>
      </c>
      <c r="E382">
        <v>13000000</v>
      </c>
      <c r="F382">
        <v>5076091</v>
      </c>
      <c r="G382">
        <v>7923909</v>
      </c>
      <c r="H382" s="5">
        <f>IFERROR((tbl_raw[[#This Row],[Revenue]]-tbl_raw[[#This Row],[COGS]]) / tbl_raw[[#This Row],[Revenue]], 0)</f>
        <v>0.60953146153846149</v>
      </c>
      <c r="I382" s="5" t="str" cm="1">
        <f t="array" ref="I38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82" s="5">
        <f>_xlfn.XLOOKUP(tbl_raw[[#This Row],[Kategori]], tbl_target[Kategori], tbl_target[Target_Margin], 0)</f>
        <v>0.25</v>
      </c>
      <c r="K382" t="s">
        <v>14</v>
      </c>
      <c r="L382" t="s">
        <v>49</v>
      </c>
      <c r="M382">
        <v>13755819</v>
      </c>
    </row>
    <row r="383" spans="1:13" x14ac:dyDescent="0.3">
      <c r="A383" t="s">
        <v>299</v>
      </c>
      <c r="B383" t="s">
        <v>290</v>
      </c>
      <c r="C383" t="s">
        <v>12</v>
      </c>
      <c r="D383" t="s">
        <v>17</v>
      </c>
      <c r="E383">
        <v>4400000</v>
      </c>
      <c r="F383">
        <v>2280299</v>
      </c>
      <c r="G383">
        <v>2119701</v>
      </c>
      <c r="H383" s="5">
        <f>IFERROR((tbl_raw[[#This Row],[Revenue]]-tbl_raw[[#This Row],[COGS]]) / tbl_raw[[#This Row],[Revenue]], 0)</f>
        <v>0.48175022727272726</v>
      </c>
      <c r="I383" s="5" t="str" cm="1">
        <f t="array" ref="I38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83" s="5">
        <f>_xlfn.XLOOKUP(tbl_raw[[#This Row],[Kategori]], tbl_target[Kategori], tbl_target[Target_Margin], 0)</f>
        <v>0.25</v>
      </c>
      <c r="K383" t="s">
        <v>36</v>
      </c>
      <c r="L383" t="s">
        <v>28</v>
      </c>
      <c r="M383">
        <v>3831302</v>
      </c>
    </row>
    <row r="384" spans="1:13" x14ac:dyDescent="0.3">
      <c r="A384" t="s">
        <v>300</v>
      </c>
      <c r="B384" t="s">
        <v>290</v>
      </c>
      <c r="C384" t="s">
        <v>12</v>
      </c>
      <c r="D384" t="s">
        <v>13</v>
      </c>
      <c r="E384">
        <v>4200000</v>
      </c>
      <c r="F384">
        <v>1571743</v>
      </c>
      <c r="G384">
        <v>2628257</v>
      </c>
      <c r="H384" s="5">
        <f>IFERROR((tbl_raw[[#This Row],[Revenue]]-tbl_raw[[#This Row],[COGS]]) / tbl_raw[[#This Row],[Revenue]], 0)</f>
        <v>0.62577547619047624</v>
      </c>
      <c r="I384" s="5" t="str" cm="1">
        <f t="array" ref="I38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84" s="5">
        <f>_xlfn.XLOOKUP(tbl_raw[[#This Row],[Kategori]], tbl_target[Kategori], tbl_target[Target_Margin], 0)</f>
        <v>0.25</v>
      </c>
      <c r="K384" t="s">
        <v>18</v>
      </c>
      <c r="L384" t="s">
        <v>34</v>
      </c>
      <c r="M384">
        <v>3527200</v>
      </c>
    </row>
    <row r="385" spans="1:13" x14ac:dyDescent="0.3">
      <c r="A385" t="s">
        <v>301</v>
      </c>
      <c r="B385" t="s">
        <v>290</v>
      </c>
      <c r="C385" t="s">
        <v>23</v>
      </c>
      <c r="D385" t="s">
        <v>27</v>
      </c>
      <c r="E385">
        <v>8900000</v>
      </c>
      <c r="F385">
        <v>4355229</v>
      </c>
      <c r="G385">
        <v>4544771</v>
      </c>
      <c r="H385" s="5">
        <f>IFERROR((tbl_raw[[#This Row],[Revenue]]-tbl_raw[[#This Row],[COGS]]) / tbl_raw[[#This Row],[Revenue]], 0)</f>
        <v>0.51064842696629209</v>
      </c>
      <c r="I385" s="5" t="str" cm="1">
        <f t="array" ref="I38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85" s="5">
        <f>_xlfn.XLOOKUP(tbl_raw[[#This Row],[Kategori]], tbl_target[Kategori], tbl_target[Target_Margin], 0)</f>
        <v>0.35</v>
      </c>
      <c r="K385" t="s">
        <v>36</v>
      </c>
      <c r="L385" t="s">
        <v>34</v>
      </c>
      <c r="M385">
        <v>11182373</v>
      </c>
    </row>
    <row r="386" spans="1:13" x14ac:dyDescent="0.3">
      <c r="A386" t="s">
        <v>301</v>
      </c>
      <c r="B386" t="s">
        <v>290</v>
      </c>
      <c r="C386" t="s">
        <v>23</v>
      </c>
      <c r="D386" t="s">
        <v>58</v>
      </c>
      <c r="E386">
        <v>19800000</v>
      </c>
      <c r="F386">
        <v>10594661</v>
      </c>
      <c r="G386">
        <v>9205339</v>
      </c>
      <c r="H386" s="5">
        <f>IFERROR((tbl_raw[[#This Row],[Revenue]]-tbl_raw[[#This Row],[COGS]]) / tbl_raw[[#This Row],[Revenue]], 0)</f>
        <v>0.46491611111111109</v>
      </c>
      <c r="I386" s="5" t="str" cm="1">
        <f t="array" ref="I38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86" s="5">
        <f>_xlfn.XLOOKUP(tbl_raw[[#This Row],[Kategori]], tbl_target[Kategori], tbl_target[Target_Margin], 0)</f>
        <v>0.35</v>
      </c>
      <c r="K386" t="s">
        <v>22</v>
      </c>
      <c r="L386" t="s">
        <v>15</v>
      </c>
      <c r="M386">
        <v>24716099</v>
      </c>
    </row>
    <row r="387" spans="1:13" x14ac:dyDescent="0.3">
      <c r="A387" t="s">
        <v>302</v>
      </c>
      <c r="B387" t="s">
        <v>290</v>
      </c>
      <c r="C387" t="s">
        <v>20</v>
      </c>
      <c r="D387" t="s">
        <v>30</v>
      </c>
      <c r="E387">
        <v>12100000</v>
      </c>
      <c r="F387">
        <v>5681921</v>
      </c>
      <c r="G387">
        <v>6418079</v>
      </c>
      <c r="H387" s="5">
        <f>IFERROR((tbl_raw[[#This Row],[Revenue]]-tbl_raw[[#This Row],[COGS]]) / tbl_raw[[#This Row],[Revenue]], 0)</f>
        <v>0.53041975206611569</v>
      </c>
      <c r="I387" s="5" t="str" cm="1">
        <f t="array" ref="I38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87" s="5">
        <f>_xlfn.XLOOKUP(tbl_raw[[#This Row],[Kategori]], tbl_target[Kategori], tbl_target[Target_Margin], 0)</f>
        <v>0.4</v>
      </c>
      <c r="K387" t="s">
        <v>36</v>
      </c>
      <c r="L387" t="s">
        <v>25</v>
      </c>
      <c r="M387">
        <v>10049588</v>
      </c>
    </row>
    <row r="388" spans="1:13" x14ac:dyDescent="0.3">
      <c r="A388" t="s">
        <v>303</v>
      </c>
      <c r="B388" t="s">
        <v>290</v>
      </c>
      <c r="C388" t="s">
        <v>23</v>
      </c>
      <c r="D388" t="s">
        <v>27</v>
      </c>
      <c r="E388">
        <v>8500000</v>
      </c>
      <c r="F388">
        <v>3725689</v>
      </c>
      <c r="G388">
        <v>4774311</v>
      </c>
      <c r="H388" s="5">
        <f>IFERROR((tbl_raw[[#This Row],[Revenue]]-tbl_raw[[#This Row],[COGS]]) / tbl_raw[[#This Row],[Revenue]], 0)</f>
        <v>0.56168364705882357</v>
      </c>
      <c r="I388" s="5" t="str" cm="1">
        <f t="array" ref="I38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88" s="5">
        <f>_xlfn.XLOOKUP(tbl_raw[[#This Row],[Kategori]], tbl_target[Kategori], tbl_target[Target_Margin], 0)</f>
        <v>0.35</v>
      </c>
      <c r="K388" t="s">
        <v>18</v>
      </c>
      <c r="L388" t="s">
        <v>25</v>
      </c>
      <c r="M388">
        <v>7965102</v>
      </c>
    </row>
    <row r="389" spans="1:13" x14ac:dyDescent="0.3">
      <c r="A389" t="s">
        <v>303</v>
      </c>
      <c r="B389" t="s">
        <v>290</v>
      </c>
      <c r="C389" t="s">
        <v>23</v>
      </c>
      <c r="D389" t="s">
        <v>58</v>
      </c>
      <c r="E389">
        <v>11200000</v>
      </c>
      <c r="F389">
        <v>4180308</v>
      </c>
      <c r="G389">
        <v>7019692</v>
      </c>
      <c r="H389" s="5">
        <f>IFERROR((tbl_raw[[#This Row],[Revenue]]-tbl_raw[[#This Row],[COGS]]) / tbl_raw[[#This Row],[Revenue]], 0)</f>
        <v>0.62675821428571432</v>
      </c>
      <c r="I389" s="5" t="str" cm="1">
        <f t="array" ref="I38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89" s="5">
        <f>_xlfn.XLOOKUP(tbl_raw[[#This Row],[Kategori]], tbl_target[Kategori], tbl_target[Target_Margin], 0)</f>
        <v>0.35</v>
      </c>
      <c r="K389" t="s">
        <v>22</v>
      </c>
      <c r="L389" t="s">
        <v>15</v>
      </c>
      <c r="M389">
        <v>10826292</v>
      </c>
    </row>
    <row r="390" spans="1:13" x14ac:dyDescent="0.3">
      <c r="A390" t="s">
        <v>303</v>
      </c>
      <c r="B390" t="s">
        <v>290</v>
      </c>
      <c r="C390" t="s">
        <v>23</v>
      </c>
      <c r="D390" t="s">
        <v>27</v>
      </c>
      <c r="E390">
        <v>15000000</v>
      </c>
      <c r="F390">
        <v>8839327</v>
      </c>
      <c r="G390">
        <v>6160673</v>
      </c>
      <c r="H390" s="5">
        <f>IFERROR((tbl_raw[[#This Row],[Revenue]]-tbl_raw[[#This Row],[COGS]]) / tbl_raw[[#This Row],[Revenue]], 0)</f>
        <v>0.41071153333333332</v>
      </c>
      <c r="I390" s="5" t="str" cm="1">
        <f t="array" ref="I39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90" s="5">
        <f>_xlfn.XLOOKUP(tbl_raw[[#This Row],[Kategori]], tbl_target[Kategori], tbl_target[Target_Margin], 0)</f>
        <v>0.35</v>
      </c>
      <c r="K390" t="s">
        <v>18</v>
      </c>
      <c r="L390" t="s">
        <v>28</v>
      </c>
      <c r="M390">
        <v>12803393</v>
      </c>
    </row>
    <row r="391" spans="1:13" x14ac:dyDescent="0.3">
      <c r="A391" t="s">
        <v>304</v>
      </c>
      <c r="B391" t="s">
        <v>290</v>
      </c>
      <c r="C391" t="s">
        <v>23</v>
      </c>
      <c r="D391" t="s">
        <v>24</v>
      </c>
      <c r="E391">
        <v>8100000</v>
      </c>
      <c r="F391">
        <v>4458389</v>
      </c>
      <c r="G391">
        <v>3641611</v>
      </c>
      <c r="H391" s="5">
        <f>IFERROR((tbl_raw[[#This Row],[Revenue]]-tbl_raw[[#This Row],[COGS]]) / tbl_raw[[#This Row],[Revenue]], 0)</f>
        <v>0.4495816049382716</v>
      </c>
      <c r="I391" s="5" t="str" cm="1">
        <f t="array" ref="I39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91" s="5">
        <f>_xlfn.XLOOKUP(tbl_raw[[#This Row],[Kategori]], tbl_target[Kategori], tbl_target[Target_Margin], 0)</f>
        <v>0.35</v>
      </c>
      <c r="K391" t="s">
        <v>48</v>
      </c>
      <c r="L391" t="s">
        <v>25</v>
      </c>
      <c r="M391">
        <v>7523451</v>
      </c>
    </row>
    <row r="392" spans="1:13" x14ac:dyDescent="0.3">
      <c r="A392" t="s">
        <v>304</v>
      </c>
      <c r="B392" t="s">
        <v>290</v>
      </c>
      <c r="C392" t="s">
        <v>20</v>
      </c>
      <c r="D392" t="s">
        <v>30</v>
      </c>
      <c r="E392">
        <v>800000</v>
      </c>
      <c r="F392">
        <v>353017</v>
      </c>
      <c r="G392">
        <v>446983</v>
      </c>
      <c r="H392" s="5">
        <f>IFERROR((tbl_raw[[#This Row],[Revenue]]-tbl_raw[[#This Row],[COGS]]) / tbl_raw[[#This Row],[Revenue]], 0)</f>
        <v>0.55872875</v>
      </c>
      <c r="I392" s="5" t="str" cm="1">
        <f t="array" ref="I39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92" s="5">
        <f>_xlfn.XLOOKUP(tbl_raw[[#This Row],[Kategori]], tbl_target[Kategori], tbl_target[Target_Margin], 0)</f>
        <v>0.4</v>
      </c>
      <c r="K392" t="s">
        <v>14</v>
      </c>
      <c r="L392" t="s">
        <v>15</v>
      </c>
      <c r="M392">
        <v>640900</v>
      </c>
    </row>
    <row r="393" spans="1:13" x14ac:dyDescent="0.3">
      <c r="A393" t="s">
        <v>304</v>
      </c>
      <c r="B393" t="s">
        <v>290</v>
      </c>
      <c r="C393" t="s">
        <v>23</v>
      </c>
      <c r="D393" t="s">
        <v>58</v>
      </c>
      <c r="E393">
        <v>2500000</v>
      </c>
      <c r="F393">
        <v>1302793</v>
      </c>
      <c r="G393">
        <v>1197207</v>
      </c>
      <c r="H393" s="5">
        <f>IFERROR((tbl_raw[[#This Row],[Revenue]]-tbl_raw[[#This Row],[COGS]]) / tbl_raw[[#This Row],[Revenue]], 0)</f>
        <v>0.4788828</v>
      </c>
      <c r="I393" s="5" t="str" cm="1">
        <f t="array" ref="I39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93" s="5">
        <f>_xlfn.XLOOKUP(tbl_raw[[#This Row],[Kategori]], tbl_target[Kategori], tbl_target[Target_Margin], 0)</f>
        <v>0.35</v>
      </c>
      <c r="K393" t="s">
        <v>48</v>
      </c>
      <c r="L393" t="s">
        <v>19</v>
      </c>
      <c r="M393">
        <v>3144996</v>
      </c>
    </row>
    <row r="394" spans="1:13" x14ac:dyDescent="0.3">
      <c r="A394" t="s">
        <v>305</v>
      </c>
      <c r="B394" t="s">
        <v>290</v>
      </c>
      <c r="C394" t="s">
        <v>12</v>
      </c>
      <c r="D394" t="s">
        <v>17</v>
      </c>
      <c r="E394">
        <v>11100000</v>
      </c>
      <c r="F394">
        <v>5198058</v>
      </c>
      <c r="G394">
        <v>5901942</v>
      </c>
      <c r="H394" s="5">
        <f>IFERROR((tbl_raw[[#This Row],[Revenue]]-tbl_raw[[#This Row],[COGS]]) / tbl_raw[[#This Row],[Revenue]], 0)</f>
        <v>0.53170648648648644</v>
      </c>
      <c r="I394" s="5" t="str" cm="1">
        <f t="array" ref="I39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94" s="5">
        <f>_xlfn.XLOOKUP(tbl_raw[[#This Row],[Kategori]], tbl_target[Kategori], tbl_target[Target_Margin], 0)</f>
        <v>0.25</v>
      </c>
      <c r="K394" t="s">
        <v>18</v>
      </c>
      <c r="L394" t="s">
        <v>31</v>
      </c>
      <c r="M394">
        <v>9049805</v>
      </c>
    </row>
    <row r="395" spans="1:13" x14ac:dyDescent="0.3">
      <c r="A395" t="s">
        <v>305</v>
      </c>
      <c r="B395" t="s">
        <v>290</v>
      </c>
      <c r="C395" t="s">
        <v>20</v>
      </c>
      <c r="D395" t="s">
        <v>30</v>
      </c>
      <c r="E395">
        <v>7200000</v>
      </c>
      <c r="F395">
        <v>2805852</v>
      </c>
      <c r="G395">
        <v>4394148</v>
      </c>
      <c r="H395" s="5">
        <f>IFERROR((tbl_raw[[#This Row],[Revenue]]-tbl_raw[[#This Row],[COGS]]) / tbl_raw[[#This Row],[Revenue]], 0)</f>
        <v>0.61029833333333339</v>
      </c>
      <c r="I395" s="5" t="str" cm="1">
        <f t="array" ref="I39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95" s="5">
        <f>_xlfn.XLOOKUP(tbl_raw[[#This Row],[Kategori]], tbl_target[Kategori], tbl_target[Target_Margin], 0)</f>
        <v>0.4</v>
      </c>
      <c r="K395" t="s">
        <v>48</v>
      </c>
      <c r="L395" t="s">
        <v>31</v>
      </c>
      <c r="M395">
        <v>9142765</v>
      </c>
    </row>
    <row r="396" spans="1:13" x14ac:dyDescent="0.3">
      <c r="A396" t="s">
        <v>305</v>
      </c>
      <c r="B396" t="s">
        <v>290</v>
      </c>
      <c r="C396" t="s">
        <v>20</v>
      </c>
      <c r="D396" t="s">
        <v>30</v>
      </c>
      <c r="E396">
        <v>19600000</v>
      </c>
      <c r="F396">
        <v>8099387</v>
      </c>
      <c r="G396">
        <v>11500613</v>
      </c>
      <c r="H396" s="5">
        <f>IFERROR((tbl_raw[[#This Row],[Revenue]]-tbl_raw[[#This Row],[COGS]]) / tbl_raw[[#This Row],[Revenue]], 0)</f>
        <v>0.58676596938775505</v>
      </c>
      <c r="I396" s="5" t="str" cm="1">
        <f t="array" ref="I39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96" s="5">
        <f>_xlfn.XLOOKUP(tbl_raw[[#This Row],[Kategori]], tbl_target[Kategori], tbl_target[Target_Margin], 0)</f>
        <v>0.4</v>
      </c>
      <c r="K396" t="s">
        <v>48</v>
      </c>
      <c r="L396" t="s">
        <v>31</v>
      </c>
      <c r="M396">
        <v>16936272</v>
      </c>
    </row>
    <row r="397" spans="1:13" x14ac:dyDescent="0.3">
      <c r="A397" t="s">
        <v>305</v>
      </c>
      <c r="B397" t="s">
        <v>290</v>
      </c>
      <c r="C397" t="s">
        <v>12</v>
      </c>
      <c r="D397" t="s">
        <v>32</v>
      </c>
      <c r="E397">
        <v>14200000</v>
      </c>
      <c r="F397">
        <v>6620282</v>
      </c>
      <c r="G397">
        <v>7579718</v>
      </c>
      <c r="H397" s="5">
        <f>IFERROR((tbl_raw[[#This Row],[Revenue]]-tbl_raw[[#This Row],[COGS]]) / tbl_raw[[#This Row],[Revenue]], 0)</f>
        <v>0.53378295774647888</v>
      </c>
      <c r="I397" s="5" t="str" cm="1">
        <f t="array" ref="I39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97" s="5">
        <f>_xlfn.XLOOKUP(tbl_raw[[#This Row],[Kategori]], tbl_target[Kategori], tbl_target[Target_Margin], 0)</f>
        <v>0.25</v>
      </c>
      <c r="K397" t="s">
        <v>14</v>
      </c>
      <c r="L397" t="s">
        <v>31</v>
      </c>
      <c r="M397">
        <v>12006275</v>
      </c>
    </row>
    <row r="398" spans="1:13" x14ac:dyDescent="0.3">
      <c r="A398" t="s">
        <v>305</v>
      </c>
      <c r="B398" t="s">
        <v>290</v>
      </c>
      <c r="C398" t="s">
        <v>12</v>
      </c>
      <c r="D398" t="s">
        <v>13</v>
      </c>
      <c r="E398">
        <v>16800000</v>
      </c>
      <c r="F398">
        <v>7776189</v>
      </c>
      <c r="G398">
        <v>9023811</v>
      </c>
      <c r="H398" s="5">
        <f>IFERROR((tbl_raw[[#This Row],[Revenue]]-tbl_raw[[#This Row],[COGS]]) / tbl_raw[[#This Row],[Revenue]], 0)</f>
        <v>0.53713160714285713</v>
      </c>
      <c r="I398" s="5" t="str" cm="1">
        <f t="array" ref="I39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98" s="5">
        <f>_xlfn.XLOOKUP(tbl_raw[[#This Row],[Kategori]], tbl_target[Kategori], tbl_target[Target_Margin], 0)</f>
        <v>0.25</v>
      </c>
      <c r="K398" t="s">
        <v>18</v>
      </c>
      <c r="L398" t="s">
        <v>31</v>
      </c>
      <c r="M398">
        <v>16994788</v>
      </c>
    </row>
    <row r="399" spans="1:13" x14ac:dyDescent="0.3">
      <c r="A399" t="s">
        <v>306</v>
      </c>
      <c r="B399" t="s">
        <v>290</v>
      </c>
      <c r="C399" t="s">
        <v>23</v>
      </c>
      <c r="D399" t="s">
        <v>24</v>
      </c>
      <c r="E399">
        <v>13800000</v>
      </c>
      <c r="F399">
        <v>7849000</v>
      </c>
      <c r="G399">
        <v>5951000</v>
      </c>
      <c r="H399" s="5">
        <f>IFERROR((tbl_raw[[#This Row],[Revenue]]-tbl_raw[[#This Row],[COGS]]) / tbl_raw[[#This Row],[Revenue]], 0)</f>
        <v>0.43123188405797103</v>
      </c>
      <c r="I399" s="5" t="str" cm="1">
        <f t="array" ref="I39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399" s="5">
        <f>_xlfn.XLOOKUP(tbl_raw[[#This Row],[Kategori]], tbl_target[Kategori], tbl_target[Target_Margin], 0)</f>
        <v>0.35</v>
      </c>
      <c r="K399" t="s">
        <v>48</v>
      </c>
      <c r="L399" t="s">
        <v>41</v>
      </c>
      <c r="M399">
        <v>15019166</v>
      </c>
    </row>
    <row r="400" spans="1:13" x14ac:dyDescent="0.3">
      <c r="A400" t="s">
        <v>307</v>
      </c>
      <c r="B400" t="s">
        <v>290</v>
      </c>
      <c r="C400" t="s">
        <v>23</v>
      </c>
      <c r="D400" t="s">
        <v>24</v>
      </c>
      <c r="E400">
        <v>17600000</v>
      </c>
      <c r="F400">
        <v>10307346</v>
      </c>
      <c r="G400">
        <v>7292654</v>
      </c>
      <c r="H400" s="5">
        <f>IFERROR((tbl_raw[[#This Row],[Revenue]]-tbl_raw[[#This Row],[COGS]]) / tbl_raw[[#This Row],[Revenue]], 0)</f>
        <v>0.41435534090909093</v>
      </c>
      <c r="I400" s="5" t="str" cm="1">
        <f t="array" ref="I40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00" s="5">
        <f>_xlfn.XLOOKUP(tbl_raw[[#This Row],[Kategori]], tbl_target[Kategori], tbl_target[Target_Margin], 0)</f>
        <v>0.35</v>
      </c>
      <c r="K400" t="s">
        <v>14</v>
      </c>
      <c r="L400" t="s">
        <v>28</v>
      </c>
      <c r="M400">
        <v>18938658</v>
      </c>
    </row>
    <row r="401" spans="1:13" x14ac:dyDescent="0.3">
      <c r="A401" t="s">
        <v>308</v>
      </c>
      <c r="B401" t="s">
        <v>290</v>
      </c>
      <c r="C401" t="s">
        <v>12</v>
      </c>
      <c r="D401" t="s">
        <v>32</v>
      </c>
      <c r="E401">
        <v>6700000</v>
      </c>
      <c r="F401">
        <v>3798950</v>
      </c>
      <c r="G401">
        <v>2901050</v>
      </c>
      <c r="H401" s="5">
        <f>IFERROR((tbl_raw[[#This Row],[Revenue]]-tbl_raw[[#This Row],[COGS]]) / tbl_raw[[#This Row],[Revenue]], 0)</f>
        <v>0.43299253731343285</v>
      </c>
      <c r="I401" s="5" t="str" cm="1">
        <f t="array" ref="I40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01" s="5">
        <f>_xlfn.XLOOKUP(tbl_raw[[#This Row],[Kategori]], tbl_target[Kategori], tbl_target[Target_Margin], 0)</f>
        <v>0.25</v>
      </c>
      <c r="K401" t="s">
        <v>36</v>
      </c>
      <c r="L401" t="s">
        <v>19</v>
      </c>
      <c r="M401">
        <v>5797359</v>
      </c>
    </row>
    <row r="402" spans="1:13" x14ac:dyDescent="0.3">
      <c r="A402" t="s">
        <v>308</v>
      </c>
      <c r="B402" t="s">
        <v>290</v>
      </c>
      <c r="C402" t="s">
        <v>23</v>
      </c>
      <c r="D402" t="s">
        <v>27</v>
      </c>
      <c r="E402">
        <v>19200000</v>
      </c>
      <c r="F402">
        <v>8770080</v>
      </c>
      <c r="G402">
        <v>10429920</v>
      </c>
      <c r="H402" s="5">
        <f>IFERROR((tbl_raw[[#This Row],[Revenue]]-tbl_raw[[#This Row],[COGS]]) / tbl_raw[[#This Row],[Revenue]], 0)</f>
        <v>0.54322499999999996</v>
      </c>
      <c r="I402" s="5" t="str" cm="1">
        <f t="array" ref="I40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02" s="5">
        <f>_xlfn.XLOOKUP(tbl_raw[[#This Row],[Kategori]], tbl_target[Kategori], tbl_target[Target_Margin], 0)</f>
        <v>0.35</v>
      </c>
      <c r="K402" t="s">
        <v>14</v>
      </c>
      <c r="L402" t="s">
        <v>31</v>
      </c>
      <c r="M402">
        <v>18498765</v>
      </c>
    </row>
    <row r="403" spans="1:13" x14ac:dyDescent="0.3">
      <c r="A403" t="s">
        <v>309</v>
      </c>
      <c r="B403" t="s">
        <v>290</v>
      </c>
      <c r="C403" t="s">
        <v>20</v>
      </c>
      <c r="D403" t="s">
        <v>21</v>
      </c>
      <c r="E403">
        <v>11200000</v>
      </c>
      <c r="F403">
        <v>5506404</v>
      </c>
      <c r="G403">
        <v>5693596</v>
      </c>
      <c r="H403" s="5">
        <f>IFERROR((tbl_raw[[#This Row],[Revenue]]-tbl_raw[[#This Row],[COGS]]) / tbl_raw[[#This Row],[Revenue]], 0)</f>
        <v>0.50835678571428566</v>
      </c>
      <c r="I403" s="5" t="str" cm="1">
        <f t="array" ref="I40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03" s="5">
        <f>_xlfn.XLOOKUP(tbl_raw[[#This Row],[Kategori]], tbl_target[Kategori], tbl_target[Target_Margin], 0)</f>
        <v>0.4</v>
      </c>
      <c r="K403" t="s">
        <v>48</v>
      </c>
      <c r="L403" t="s">
        <v>15</v>
      </c>
      <c r="M403">
        <v>10634873</v>
      </c>
    </row>
    <row r="404" spans="1:13" x14ac:dyDescent="0.3">
      <c r="A404" t="s">
        <v>310</v>
      </c>
      <c r="B404" t="s">
        <v>311</v>
      </c>
      <c r="C404" t="s">
        <v>23</v>
      </c>
      <c r="D404" t="s">
        <v>24</v>
      </c>
      <c r="E404">
        <v>3700000</v>
      </c>
      <c r="F404">
        <v>2069776</v>
      </c>
      <c r="G404">
        <v>1630224</v>
      </c>
      <c r="H404" s="5">
        <f>IFERROR((tbl_raw[[#This Row],[Revenue]]-tbl_raw[[#This Row],[COGS]]) / tbl_raw[[#This Row],[Revenue]], 0)</f>
        <v>0.44060108108108109</v>
      </c>
      <c r="I404" s="5" t="str" cm="1">
        <f t="array" ref="I40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04" s="5">
        <f>_xlfn.XLOOKUP(tbl_raw[[#This Row],[Kategori]], tbl_target[Kategori], tbl_target[Target_Margin], 0)</f>
        <v>0.35</v>
      </c>
      <c r="K404" t="s">
        <v>22</v>
      </c>
      <c r="L404" t="s">
        <v>25</v>
      </c>
      <c r="M404">
        <v>3929159</v>
      </c>
    </row>
    <row r="405" spans="1:13" x14ac:dyDescent="0.3">
      <c r="A405" t="s">
        <v>312</v>
      </c>
      <c r="B405" t="s">
        <v>311</v>
      </c>
      <c r="C405" t="s">
        <v>23</v>
      </c>
      <c r="D405" t="s">
        <v>27</v>
      </c>
      <c r="E405">
        <v>4200000</v>
      </c>
      <c r="F405">
        <v>2411890</v>
      </c>
      <c r="G405">
        <v>1788110</v>
      </c>
      <c r="H405" s="5">
        <f>IFERROR((tbl_raw[[#This Row],[Revenue]]-tbl_raw[[#This Row],[COGS]]) / tbl_raw[[#This Row],[Revenue]], 0)</f>
        <v>0.42574047619047617</v>
      </c>
      <c r="I405" s="5" t="str" cm="1">
        <f t="array" ref="I40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05" s="5">
        <f>_xlfn.XLOOKUP(tbl_raw[[#This Row],[Kategori]], tbl_target[Kategori], tbl_target[Target_Margin], 0)</f>
        <v>0.35</v>
      </c>
      <c r="K405" t="s">
        <v>18</v>
      </c>
      <c r="L405" t="s">
        <v>19</v>
      </c>
      <c r="M405">
        <v>5297768</v>
      </c>
    </row>
    <row r="406" spans="1:13" x14ac:dyDescent="0.3">
      <c r="A406" t="s">
        <v>312</v>
      </c>
      <c r="B406" t="s">
        <v>311</v>
      </c>
      <c r="C406" t="s">
        <v>20</v>
      </c>
      <c r="D406" t="s">
        <v>30</v>
      </c>
      <c r="E406">
        <v>8500000</v>
      </c>
      <c r="F406">
        <v>4806764</v>
      </c>
      <c r="G406">
        <v>3693236</v>
      </c>
      <c r="H406" s="5">
        <f>IFERROR((tbl_raw[[#This Row],[Revenue]]-tbl_raw[[#This Row],[COGS]]) / tbl_raw[[#This Row],[Revenue]], 0)</f>
        <v>0.43449835294117645</v>
      </c>
      <c r="I406" s="5" t="str" cm="1">
        <f t="array" ref="I40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06" s="5">
        <f>_xlfn.XLOOKUP(tbl_raw[[#This Row],[Kategori]], tbl_target[Kategori], tbl_target[Target_Margin], 0)</f>
        <v>0.4</v>
      </c>
      <c r="K406" t="s">
        <v>22</v>
      </c>
      <c r="L406" t="s">
        <v>31</v>
      </c>
      <c r="M406">
        <v>7162207</v>
      </c>
    </row>
    <row r="407" spans="1:13" x14ac:dyDescent="0.3">
      <c r="A407" t="s">
        <v>312</v>
      </c>
      <c r="B407" t="s">
        <v>311</v>
      </c>
      <c r="C407" t="s">
        <v>23</v>
      </c>
      <c r="D407" t="s">
        <v>24</v>
      </c>
      <c r="E407">
        <v>17900000</v>
      </c>
      <c r="F407">
        <v>7221315</v>
      </c>
      <c r="G407">
        <v>10678685</v>
      </c>
      <c r="H407" s="5">
        <f>IFERROR((tbl_raw[[#This Row],[Revenue]]-tbl_raw[[#This Row],[COGS]]) / tbl_raw[[#This Row],[Revenue]], 0)</f>
        <v>0.59657458100558658</v>
      </c>
      <c r="I407" s="5" t="str" cm="1">
        <f t="array" ref="I40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07" s="5">
        <f>_xlfn.XLOOKUP(tbl_raw[[#This Row],[Kategori]], tbl_target[Kategori], tbl_target[Target_Margin], 0)</f>
        <v>0.35</v>
      </c>
      <c r="K407" t="s">
        <v>18</v>
      </c>
      <c r="L407" t="s">
        <v>15</v>
      </c>
      <c r="M407">
        <v>17612748</v>
      </c>
    </row>
    <row r="408" spans="1:13" x14ac:dyDescent="0.3">
      <c r="A408" t="s">
        <v>312</v>
      </c>
      <c r="B408" t="s">
        <v>311</v>
      </c>
      <c r="C408" t="s">
        <v>12</v>
      </c>
      <c r="D408" t="s">
        <v>32</v>
      </c>
      <c r="E408">
        <v>4500000</v>
      </c>
      <c r="F408">
        <v>1804451</v>
      </c>
      <c r="G408">
        <v>2695549</v>
      </c>
      <c r="H408" s="5">
        <f>IFERROR((tbl_raw[[#This Row],[Revenue]]-tbl_raw[[#This Row],[COGS]]) / tbl_raw[[#This Row],[Revenue]], 0)</f>
        <v>0.59901088888888887</v>
      </c>
      <c r="I408" s="5" t="str" cm="1">
        <f t="array" ref="I40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08" s="5">
        <f>_xlfn.XLOOKUP(tbl_raw[[#This Row],[Kategori]], tbl_target[Kategori], tbl_target[Target_Margin], 0)</f>
        <v>0.25</v>
      </c>
      <c r="K408" t="s">
        <v>18</v>
      </c>
      <c r="L408" t="s">
        <v>49</v>
      </c>
      <c r="M408">
        <v>4843678</v>
      </c>
    </row>
    <row r="409" spans="1:13" x14ac:dyDescent="0.3">
      <c r="A409" t="s">
        <v>313</v>
      </c>
      <c r="B409" t="s">
        <v>311</v>
      </c>
      <c r="C409" t="s">
        <v>12</v>
      </c>
      <c r="D409" t="s">
        <v>13</v>
      </c>
      <c r="E409">
        <v>15100000</v>
      </c>
      <c r="F409">
        <v>6156818</v>
      </c>
      <c r="G409">
        <v>8943182</v>
      </c>
      <c r="H409" s="5">
        <f>IFERROR((tbl_raw[[#This Row],[Revenue]]-tbl_raw[[#This Row],[COGS]]) / tbl_raw[[#This Row],[Revenue]], 0)</f>
        <v>0.59226370860927158</v>
      </c>
      <c r="I409" s="5" t="str" cm="1">
        <f t="array" ref="I40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09" s="5">
        <f>_xlfn.XLOOKUP(tbl_raw[[#This Row],[Kategori]], tbl_target[Kategori], tbl_target[Target_Margin], 0)</f>
        <v>0.25</v>
      </c>
      <c r="K409" t="s">
        <v>14</v>
      </c>
      <c r="L409" t="s">
        <v>25</v>
      </c>
      <c r="M409">
        <v>14459605</v>
      </c>
    </row>
    <row r="410" spans="1:13" x14ac:dyDescent="0.3">
      <c r="A410" t="s">
        <v>314</v>
      </c>
      <c r="B410" t="s">
        <v>311</v>
      </c>
      <c r="C410" t="s">
        <v>12</v>
      </c>
      <c r="D410" t="s">
        <v>17</v>
      </c>
      <c r="E410">
        <v>7600000</v>
      </c>
      <c r="F410">
        <v>3488953</v>
      </c>
      <c r="G410">
        <v>4111047</v>
      </c>
      <c r="H410" s="5">
        <f>IFERROR((tbl_raw[[#This Row],[Revenue]]-tbl_raw[[#This Row],[COGS]]) / tbl_raw[[#This Row],[Revenue]], 0)</f>
        <v>0.54092723684210531</v>
      </c>
      <c r="I410" s="5" t="str" cm="1">
        <f t="array" ref="I41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10" s="5">
        <f>_xlfn.XLOOKUP(tbl_raw[[#This Row],[Kategori]], tbl_target[Kategori], tbl_target[Target_Margin], 0)</f>
        <v>0.25</v>
      </c>
      <c r="K410" t="s">
        <v>22</v>
      </c>
      <c r="L410" t="s">
        <v>31</v>
      </c>
      <c r="M410">
        <v>8747781</v>
      </c>
    </row>
    <row r="411" spans="1:13" x14ac:dyDescent="0.3">
      <c r="A411" t="s">
        <v>315</v>
      </c>
      <c r="B411" t="s">
        <v>311</v>
      </c>
      <c r="C411" t="s">
        <v>20</v>
      </c>
      <c r="D411" t="s">
        <v>40</v>
      </c>
      <c r="E411">
        <v>2000000</v>
      </c>
      <c r="F411">
        <v>813534</v>
      </c>
      <c r="G411">
        <v>1186466</v>
      </c>
      <c r="H411" s="5">
        <f>IFERROR((tbl_raw[[#This Row],[Revenue]]-tbl_raw[[#This Row],[COGS]]) / tbl_raw[[#This Row],[Revenue]], 0)</f>
        <v>0.59323300000000001</v>
      </c>
      <c r="I411" s="5" t="str" cm="1">
        <f t="array" ref="I41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11" s="5">
        <f>_xlfn.XLOOKUP(tbl_raw[[#This Row],[Kategori]], tbl_target[Kategori], tbl_target[Target_Margin], 0)</f>
        <v>0.4</v>
      </c>
      <c r="K411" t="s">
        <v>14</v>
      </c>
      <c r="L411" t="s">
        <v>34</v>
      </c>
      <c r="M411">
        <v>2196006</v>
      </c>
    </row>
    <row r="412" spans="1:13" x14ac:dyDescent="0.3">
      <c r="A412" t="s">
        <v>316</v>
      </c>
      <c r="B412" t="s">
        <v>311</v>
      </c>
      <c r="C412" t="s">
        <v>23</v>
      </c>
      <c r="D412" t="s">
        <v>58</v>
      </c>
      <c r="E412">
        <v>7000000</v>
      </c>
      <c r="F412">
        <v>3059402</v>
      </c>
      <c r="G412">
        <v>3940598</v>
      </c>
      <c r="H412" s="5">
        <f>IFERROR((tbl_raw[[#This Row],[Revenue]]-tbl_raw[[#This Row],[COGS]]) / tbl_raw[[#This Row],[Revenue]], 0)</f>
        <v>0.5629425714285714</v>
      </c>
      <c r="I412" s="5" t="str" cm="1">
        <f t="array" ref="I41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12" s="5">
        <f>_xlfn.XLOOKUP(tbl_raw[[#This Row],[Kategori]], tbl_target[Kategori], tbl_target[Target_Margin], 0)</f>
        <v>0.35</v>
      </c>
      <c r="K412" t="s">
        <v>18</v>
      </c>
      <c r="L412" t="s">
        <v>41</v>
      </c>
      <c r="M412">
        <v>6541925</v>
      </c>
    </row>
    <row r="413" spans="1:13" x14ac:dyDescent="0.3">
      <c r="A413" t="s">
        <v>317</v>
      </c>
      <c r="B413" t="s">
        <v>311</v>
      </c>
      <c r="C413" t="s">
        <v>12</v>
      </c>
      <c r="D413" t="s">
        <v>32</v>
      </c>
      <c r="E413">
        <v>19300000</v>
      </c>
      <c r="F413">
        <v>7916718</v>
      </c>
      <c r="G413">
        <v>11383282</v>
      </c>
      <c r="H413" s="5">
        <f>IFERROR((tbl_raw[[#This Row],[Revenue]]-tbl_raw[[#This Row],[COGS]]) / tbl_raw[[#This Row],[Revenue]], 0)</f>
        <v>0.58980735751295332</v>
      </c>
      <c r="I413" s="5" t="str" cm="1">
        <f t="array" ref="I41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13" s="5">
        <f>_xlfn.XLOOKUP(tbl_raw[[#This Row],[Kategori]], tbl_target[Kategori], tbl_target[Target_Margin], 0)</f>
        <v>0.25</v>
      </c>
      <c r="K413" t="s">
        <v>18</v>
      </c>
      <c r="L413" t="s">
        <v>28</v>
      </c>
      <c r="M413">
        <v>15507386</v>
      </c>
    </row>
    <row r="414" spans="1:13" x14ac:dyDescent="0.3">
      <c r="A414" t="s">
        <v>317</v>
      </c>
      <c r="B414" t="s">
        <v>311</v>
      </c>
      <c r="C414" t="s">
        <v>12</v>
      </c>
      <c r="D414" t="s">
        <v>32</v>
      </c>
      <c r="E414">
        <v>1600000</v>
      </c>
      <c r="F414">
        <v>566422</v>
      </c>
      <c r="G414">
        <v>1033578</v>
      </c>
      <c r="H414" s="5">
        <f>IFERROR((tbl_raw[[#This Row],[Revenue]]-tbl_raw[[#This Row],[COGS]]) / tbl_raw[[#This Row],[Revenue]], 0)</f>
        <v>0.64598624999999998</v>
      </c>
      <c r="I414" s="5" t="str" cm="1">
        <f t="array" ref="I41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14" s="5">
        <f>_xlfn.XLOOKUP(tbl_raw[[#This Row],[Kategori]], tbl_target[Kategori], tbl_target[Target_Margin], 0)</f>
        <v>0.25</v>
      </c>
      <c r="K414" t="s">
        <v>48</v>
      </c>
      <c r="L414" t="s">
        <v>31</v>
      </c>
      <c r="M414">
        <v>1776616</v>
      </c>
    </row>
    <row r="415" spans="1:13" x14ac:dyDescent="0.3">
      <c r="A415" t="s">
        <v>317</v>
      </c>
      <c r="B415" t="s">
        <v>311</v>
      </c>
      <c r="C415" t="s">
        <v>20</v>
      </c>
      <c r="D415" t="s">
        <v>30</v>
      </c>
      <c r="E415">
        <v>11000000</v>
      </c>
      <c r="F415">
        <v>4477553</v>
      </c>
      <c r="G415">
        <v>6522447</v>
      </c>
      <c r="H415" s="5">
        <f>IFERROR((tbl_raw[[#This Row],[Revenue]]-tbl_raw[[#This Row],[COGS]]) / tbl_raw[[#This Row],[Revenue]], 0)</f>
        <v>0.59294972727272732</v>
      </c>
      <c r="I415" s="5" t="str" cm="1">
        <f t="array" ref="I41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15" s="5">
        <f>_xlfn.XLOOKUP(tbl_raw[[#This Row],[Kategori]], tbl_target[Kategori], tbl_target[Target_Margin], 0)</f>
        <v>0.4</v>
      </c>
      <c r="K415" t="s">
        <v>18</v>
      </c>
      <c r="L415" t="s">
        <v>31</v>
      </c>
      <c r="M415">
        <v>9495655</v>
      </c>
    </row>
    <row r="416" spans="1:13" x14ac:dyDescent="0.3">
      <c r="A416" t="s">
        <v>318</v>
      </c>
      <c r="B416" t="s">
        <v>311</v>
      </c>
      <c r="C416" t="s">
        <v>23</v>
      </c>
      <c r="D416" t="s">
        <v>58</v>
      </c>
      <c r="E416">
        <v>6700000</v>
      </c>
      <c r="F416">
        <v>3367709</v>
      </c>
      <c r="G416">
        <v>3332291</v>
      </c>
      <c r="H416" s="5">
        <f>IFERROR((tbl_raw[[#This Row],[Revenue]]-tbl_raw[[#This Row],[COGS]]) / tbl_raw[[#This Row],[Revenue]], 0)</f>
        <v>0.49735686567164178</v>
      </c>
      <c r="I416" s="5" t="str" cm="1">
        <f t="array" ref="I41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16" s="5">
        <f>_xlfn.XLOOKUP(tbl_raw[[#This Row],[Kategori]], tbl_target[Kategori], tbl_target[Target_Margin], 0)</f>
        <v>0.35</v>
      </c>
      <c r="K416" t="s">
        <v>48</v>
      </c>
      <c r="L416" t="s">
        <v>19</v>
      </c>
      <c r="M416">
        <v>5912396</v>
      </c>
    </row>
    <row r="417" spans="1:13" x14ac:dyDescent="0.3">
      <c r="A417" t="s">
        <v>319</v>
      </c>
      <c r="B417" t="s">
        <v>311</v>
      </c>
      <c r="C417" t="s">
        <v>12</v>
      </c>
      <c r="D417" t="s">
        <v>32</v>
      </c>
      <c r="E417">
        <v>6500000</v>
      </c>
      <c r="F417">
        <v>2795251</v>
      </c>
      <c r="G417">
        <v>3704749</v>
      </c>
      <c r="H417" s="5">
        <f>IFERROR((tbl_raw[[#This Row],[Revenue]]-tbl_raw[[#This Row],[COGS]]) / tbl_raw[[#This Row],[Revenue]], 0)</f>
        <v>0.56996138461538459</v>
      </c>
      <c r="I417" s="5" t="str" cm="1">
        <f t="array" ref="I41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17" s="5">
        <f>_xlfn.XLOOKUP(tbl_raw[[#This Row],[Kategori]], tbl_target[Kategori], tbl_target[Target_Margin], 0)</f>
        <v>0.25</v>
      </c>
      <c r="K417" t="s">
        <v>48</v>
      </c>
      <c r="L417" t="s">
        <v>19</v>
      </c>
      <c r="M417">
        <v>6360491</v>
      </c>
    </row>
    <row r="418" spans="1:13" x14ac:dyDescent="0.3">
      <c r="A418" t="s">
        <v>319</v>
      </c>
      <c r="B418" t="s">
        <v>311</v>
      </c>
      <c r="C418" t="s">
        <v>12</v>
      </c>
      <c r="D418" t="s">
        <v>32</v>
      </c>
      <c r="E418">
        <v>1800000</v>
      </c>
      <c r="F418">
        <v>736428</v>
      </c>
      <c r="G418">
        <v>1063572</v>
      </c>
      <c r="H418" s="5">
        <f>IFERROR((tbl_raw[[#This Row],[Revenue]]-tbl_raw[[#This Row],[COGS]]) / tbl_raw[[#This Row],[Revenue]], 0)</f>
        <v>0.59087333333333336</v>
      </c>
      <c r="I418" s="5" t="str" cm="1">
        <f t="array" ref="I41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18" s="5">
        <f>_xlfn.XLOOKUP(tbl_raw[[#This Row],[Kategori]], tbl_target[Kategori], tbl_target[Target_Margin], 0)</f>
        <v>0.25</v>
      </c>
      <c r="K418" t="s">
        <v>18</v>
      </c>
      <c r="L418" t="s">
        <v>31</v>
      </c>
      <c r="M418">
        <v>1624401</v>
      </c>
    </row>
    <row r="419" spans="1:13" x14ac:dyDescent="0.3">
      <c r="A419" t="s">
        <v>319</v>
      </c>
      <c r="B419" t="s">
        <v>311</v>
      </c>
      <c r="C419" t="s">
        <v>20</v>
      </c>
      <c r="D419" t="s">
        <v>30</v>
      </c>
      <c r="E419">
        <v>1100000</v>
      </c>
      <c r="F419">
        <v>443944</v>
      </c>
      <c r="G419">
        <v>656056</v>
      </c>
      <c r="H419" s="5">
        <f>IFERROR((tbl_raw[[#This Row],[Revenue]]-tbl_raw[[#This Row],[COGS]]) / tbl_raw[[#This Row],[Revenue]], 0)</f>
        <v>0.59641454545454542</v>
      </c>
      <c r="I419" s="5" t="str" cm="1">
        <f t="array" ref="I41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19" s="5">
        <f>_xlfn.XLOOKUP(tbl_raw[[#This Row],[Kategori]], tbl_target[Kategori], tbl_target[Target_Margin], 0)</f>
        <v>0.4</v>
      </c>
      <c r="K419" t="s">
        <v>36</v>
      </c>
      <c r="L419" t="s">
        <v>15</v>
      </c>
      <c r="M419">
        <v>908039</v>
      </c>
    </row>
    <row r="420" spans="1:13" x14ac:dyDescent="0.3">
      <c r="A420" t="s">
        <v>320</v>
      </c>
      <c r="B420" t="s">
        <v>311</v>
      </c>
      <c r="C420" t="s">
        <v>23</v>
      </c>
      <c r="D420" t="s">
        <v>27</v>
      </c>
      <c r="E420">
        <v>1600000</v>
      </c>
      <c r="F420">
        <v>781976</v>
      </c>
      <c r="G420">
        <v>818024</v>
      </c>
      <c r="H420" s="5">
        <f>IFERROR((tbl_raw[[#This Row],[Revenue]]-tbl_raw[[#This Row],[COGS]]) / tbl_raw[[#This Row],[Revenue]], 0)</f>
        <v>0.51126499999999997</v>
      </c>
      <c r="I420" s="5" t="str" cm="1">
        <f t="array" ref="I42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20" s="5">
        <f>_xlfn.XLOOKUP(tbl_raw[[#This Row],[Kategori]], tbl_target[Kategori], tbl_target[Target_Margin], 0)</f>
        <v>0.35</v>
      </c>
      <c r="K420" t="s">
        <v>14</v>
      </c>
      <c r="L420" t="s">
        <v>31</v>
      </c>
      <c r="M420">
        <v>1895325</v>
      </c>
    </row>
    <row r="421" spans="1:13" x14ac:dyDescent="0.3">
      <c r="A421" t="s">
        <v>321</v>
      </c>
      <c r="B421" t="s">
        <v>311</v>
      </c>
      <c r="C421" t="s">
        <v>20</v>
      </c>
      <c r="D421" t="s">
        <v>30</v>
      </c>
      <c r="E421">
        <v>12900000</v>
      </c>
      <c r="F421">
        <v>6535069</v>
      </c>
      <c r="G421">
        <v>6364931</v>
      </c>
      <c r="H421" s="5">
        <f>IFERROR((tbl_raw[[#This Row],[Revenue]]-tbl_raw[[#This Row],[COGS]]) / tbl_raw[[#This Row],[Revenue]], 0)</f>
        <v>0.49340550387596899</v>
      </c>
      <c r="I421" s="5" t="str" cm="1">
        <f t="array" ref="I42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21" s="5">
        <f>_xlfn.XLOOKUP(tbl_raw[[#This Row],[Kategori]], tbl_target[Kategori], tbl_target[Target_Margin], 0)</f>
        <v>0.4</v>
      </c>
      <c r="K421" t="s">
        <v>14</v>
      </c>
      <c r="L421" t="s">
        <v>15</v>
      </c>
      <c r="M421">
        <v>13449992</v>
      </c>
    </row>
    <row r="422" spans="1:13" x14ac:dyDescent="0.3">
      <c r="A422" t="s">
        <v>322</v>
      </c>
      <c r="B422" t="s">
        <v>311</v>
      </c>
      <c r="C422" t="s">
        <v>12</v>
      </c>
      <c r="D422" t="s">
        <v>32</v>
      </c>
      <c r="E422">
        <v>18300000</v>
      </c>
      <c r="F422">
        <v>8372128</v>
      </c>
      <c r="G422">
        <v>9927872</v>
      </c>
      <c r="H422" s="5">
        <f>IFERROR((tbl_raw[[#This Row],[Revenue]]-tbl_raw[[#This Row],[COGS]]) / tbl_raw[[#This Row],[Revenue]], 0)</f>
        <v>0.54250666666666669</v>
      </c>
      <c r="I422" s="5" t="str" cm="1">
        <f t="array" ref="I42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22" s="5">
        <f>_xlfn.XLOOKUP(tbl_raw[[#This Row],[Kategori]], tbl_target[Kategori], tbl_target[Target_Margin], 0)</f>
        <v>0.25</v>
      </c>
      <c r="K422" t="s">
        <v>18</v>
      </c>
      <c r="L422" t="s">
        <v>31</v>
      </c>
      <c r="M422">
        <v>21121940</v>
      </c>
    </row>
    <row r="423" spans="1:13" x14ac:dyDescent="0.3">
      <c r="A423" t="s">
        <v>323</v>
      </c>
      <c r="B423" t="s">
        <v>311</v>
      </c>
      <c r="C423" t="s">
        <v>20</v>
      </c>
      <c r="D423" t="s">
        <v>40</v>
      </c>
      <c r="E423">
        <v>5100000</v>
      </c>
      <c r="F423">
        <v>2355350</v>
      </c>
      <c r="G423">
        <v>2744650</v>
      </c>
      <c r="H423" s="5">
        <f>IFERROR((tbl_raw[[#This Row],[Revenue]]-tbl_raw[[#This Row],[COGS]]) / tbl_raw[[#This Row],[Revenue]], 0)</f>
        <v>0.53816666666666668</v>
      </c>
      <c r="I423" s="5" t="str" cm="1">
        <f t="array" ref="I42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23" s="5">
        <f>_xlfn.XLOOKUP(tbl_raw[[#This Row],[Kategori]], tbl_target[Kategori], tbl_target[Target_Margin], 0)</f>
        <v>0.4</v>
      </c>
      <c r="K423" t="s">
        <v>36</v>
      </c>
      <c r="L423" t="s">
        <v>19</v>
      </c>
      <c r="M423">
        <v>4130634</v>
      </c>
    </row>
    <row r="424" spans="1:13" x14ac:dyDescent="0.3">
      <c r="A424" t="s">
        <v>324</v>
      </c>
      <c r="B424" t="s">
        <v>311</v>
      </c>
      <c r="C424" t="s">
        <v>20</v>
      </c>
      <c r="D424" t="s">
        <v>30</v>
      </c>
      <c r="E424">
        <v>10000000</v>
      </c>
      <c r="F424">
        <v>3861289</v>
      </c>
      <c r="G424">
        <v>6138711</v>
      </c>
      <c r="H424" s="5">
        <f>IFERROR((tbl_raw[[#This Row],[Revenue]]-tbl_raw[[#This Row],[COGS]]) / tbl_raw[[#This Row],[Revenue]], 0)</f>
        <v>0.6138711</v>
      </c>
      <c r="I424" s="5" t="str" cm="1">
        <f t="array" ref="I42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24" s="5">
        <f>_xlfn.XLOOKUP(tbl_raw[[#This Row],[Kategori]], tbl_target[Kategori], tbl_target[Target_Margin], 0)</f>
        <v>0.4</v>
      </c>
      <c r="K424" t="s">
        <v>36</v>
      </c>
      <c r="L424" t="s">
        <v>15</v>
      </c>
      <c r="M424">
        <v>8386784</v>
      </c>
    </row>
    <row r="425" spans="1:13" x14ac:dyDescent="0.3">
      <c r="A425" t="s">
        <v>325</v>
      </c>
      <c r="B425" t="s">
        <v>311</v>
      </c>
      <c r="C425" t="s">
        <v>23</v>
      </c>
      <c r="D425" t="s">
        <v>24</v>
      </c>
      <c r="E425">
        <v>7500000</v>
      </c>
      <c r="F425">
        <v>4051096</v>
      </c>
      <c r="G425">
        <v>3448904</v>
      </c>
      <c r="H425" s="5">
        <f>IFERROR((tbl_raw[[#This Row],[Revenue]]-tbl_raw[[#This Row],[COGS]]) / tbl_raw[[#This Row],[Revenue]], 0)</f>
        <v>0.45985386666666667</v>
      </c>
      <c r="I425" s="5" t="str" cm="1">
        <f t="array" ref="I42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25" s="5">
        <f>_xlfn.XLOOKUP(tbl_raw[[#This Row],[Kategori]], tbl_target[Kategori], tbl_target[Target_Margin], 0)</f>
        <v>0.35</v>
      </c>
      <c r="K425" t="s">
        <v>22</v>
      </c>
      <c r="L425" t="s">
        <v>28</v>
      </c>
      <c r="M425">
        <v>6040383</v>
      </c>
    </row>
    <row r="426" spans="1:13" x14ac:dyDescent="0.3">
      <c r="A426" t="s">
        <v>325</v>
      </c>
      <c r="B426" t="s">
        <v>311</v>
      </c>
      <c r="C426" t="s">
        <v>20</v>
      </c>
      <c r="D426" t="s">
        <v>30</v>
      </c>
      <c r="E426">
        <v>16700000</v>
      </c>
      <c r="F426">
        <v>6454197</v>
      </c>
      <c r="G426">
        <v>10245803</v>
      </c>
      <c r="H426" s="5">
        <f>IFERROR((tbl_raw[[#This Row],[Revenue]]-tbl_raw[[#This Row],[COGS]]) / tbl_raw[[#This Row],[Revenue]], 0)</f>
        <v>0.61352113772455086</v>
      </c>
      <c r="I426" s="5" t="str" cm="1">
        <f t="array" ref="I42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26" s="5">
        <f>_xlfn.XLOOKUP(tbl_raw[[#This Row],[Kategori]], tbl_target[Kategori], tbl_target[Target_Margin], 0)</f>
        <v>0.4</v>
      </c>
      <c r="K426" t="s">
        <v>48</v>
      </c>
      <c r="L426" t="s">
        <v>25</v>
      </c>
      <c r="M426">
        <v>16609912</v>
      </c>
    </row>
    <row r="427" spans="1:13" x14ac:dyDescent="0.3">
      <c r="A427" t="s">
        <v>325</v>
      </c>
      <c r="B427" t="s">
        <v>311</v>
      </c>
      <c r="C427" t="s">
        <v>23</v>
      </c>
      <c r="D427" t="s">
        <v>27</v>
      </c>
      <c r="E427">
        <v>14800000</v>
      </c>
      <c r="F427">
        <v>6430666</v>
      </c>
      <c r="G427">
        <v>8369334</v>
      </c>
      <c r="H427" s="5">
        <f>IFERROR((tbl_raw[[#This Row],[Revenue]]-tbl_raw[[#This Row],[COGS]]) / tbl_raw[[#This Row],[Revenue]], 0)</f>
        <v>0.56549554054054052</v>
      </c>
      <c r="I427" s="5" t="str" cm="1">
        <f t="array" ref="I42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27" s="5">
        <f>_xlfn.XLOOKUP(tbl_raw[[#This Row],[Kategori]], tbl_target[Kategori], tbl_target[Target_Margin], 0)</f>
        <v>0.35</v>
      </c>
      <c r="K427" t="s">
        <v>48</v>
      </c>
      <c r="L427" t="s">
        <v>19</v>
      </c>
      <c r="M427">
        <v>14695920</v>
      </c>
    </row>
    <row r="428" spans="1:13" x14ac:dyDescent="0.3">
      <c r="A428" t="s">
        <v>326</v>
      </c>
      <c r="B428" t="s">
        <v>327</v>
      </c>
      <c r="C428" t="s">
        <v>23</v>
      </c>
      <c r="D428" t="s">
        <v>24</v>
      </c>
      <c r="E428">
        <v>1400000</v>
      </c>
      <c r="F428">
        <v>817352</v>
      </c>
      <c r="G428">
        <v>582648</v>
      </c>
      <c r="H428" s="5">
        <f>IFERROR((tbl_raw[[#This Row],[Revenue]]-tbl_raw[[#This Row],[COGS]]) / tbl_raw[[#This Row],[Revenue]], 0)</f>
        <v>0.41617714285714286</v>
      </c>
      <c r="I428" s="5" t="str" cm="1">
        <f t="array" ref="I42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28" s="5">
        <f>_xlfn.XLOOKUP(tbl_raw[[#This Row],[Kategori]], tbl_target[Kategori], tbl_target[Target_Margin], 0)</f>
        <v>0.35</v>
      </c>
      <c r="K428" t="s">
        <v>22</v>
      </c>
      <c r="L428" t="s">
        <v>28</v>
      </c>
      <c r="M428">
        <v>1741763</v>
      </c>
    </row>
    <row r="429" spans="1:13" x14ac:dyDescent="0.3">
      <c r="A429" t="s">
        <v>326</v>
      </c>
      <c r="B429" t="s">
        <v>327</v>
      </c>
      <c r="C429" t="s">
        <v>20</v>
      </c>
      <c r="D429" t="s">
        <v>30</v>
      </c>
      <c r="E429">
        <v>3000000</v>
      </c>
      <c r="F429">
        <v>1173324</v>
      </c>
      <c r="G429">
        <v>1826676</v>
      </c>
      <c r="H429" s="5">
        <f>IFERROR((tbl_raw[[#This Row],[Revenue]]-tbl_raw[[#This Row],[COGS]]) / tbl_raw[[#This Row],[Revenue]], 0)</f>
        <v>0.60889199999999999</v>
      </c>
      <c r="I429" s="5" t="str" cm="1">
        <f t="array" ref="I42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29" s="5">
        <f>_xlfn.XLOOKUP(tbl_raw[[#This Row],[Kategori]], tbl_target[Kategori], tbl_target[Target_Margin], 0)</f>
        <v>0.4</v>
      </c>
      <c r="K429" t="s">
        <v>14</v>
      </c>
      <c r="L429" t="s">
        <v>49</v>
      </c>
      <c r="M429">
        <v>2597998</v>
      </c>
    </row>
    <row r="430" spans="1:13" x14ac:dyDescent="0.3">
      <c r="A430" t="s">
        <v>328</v>
      </c>
      <c r="B430" t="s">
        <v>327</v>
      </c>
      <c r="C430" t="s">
        <v>20</v>
      </c>
      <c r="D430" t="s">
        <v>40</v>
      </c>
      <c r="E430">
        <v>17600000</v>
      </c>
      <c r="F430">
        <v>8411942</v>
      </c>
      <c r="G430">
        <v>9188058</v>
      </c>
      <c r="H430" s="5">
        <f>IFERROR((tbl_raw[[#This Row],[Revenue]]-tbl_raw[[#This Row],[COGS]]) / tbl_raw[[#This Row],[Revenue]], 0)</f>
        <v>0.52204874999999995</v>
      </c>
      <c r="I430" s="5" t="str" cm="1">
        <f t="array" ref="I43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30" s="5">
        <f>_xlfn.XLOOKUP(tbl_raw[[#This Row],[Kategori]], tbl_target[Kategori], tbl_target[Target_Margin], 0)</f>
        <v>0.4</v>
      </c>
      <c r="K430" t="s">
        <v>48</v>
      </c>
      <c r="L430" t="s">
        <v>31</v>
      </c>
      <c r="M430">
        <v>17650079</v>
      </c>
    </row>
    <row r="431" spans="1:13" x14ac:dyDescent="0.3">
      <c r="A431" t="s">
        <v>328</v>
      </c>
      <c r="B431" t="s">
        <v>327</v>
      </c>
      <c r="C431" t="s">
        <v>23</v>
      </c>
      <c r="D431" t="s">
        <v>27</v>
      </c>
      <c r="E431">
        <v>3000000</v>
      </c>
      <c r="F431">
        <v>1685461</v>
      </c>
      <c r="G431">
        <v>1314539</v>
      </c>
      <c r="H431" s="5">
        <f>IFERROR((tbl_raw[[#This Row],[Revenue]]-tbl_raw[[#This Row],[COGS]]) / tbl_raw[[#This Row],[Revenue]], 0)</f>
        <v>0.43817966666666669</v>
      </c>
      <c r="I431" s="5" t="str" cm="1">
        <f t="array" ref="I43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31" s="5">
        <f>_xlfn.XLOOKUP(tbl_raw[[#This Row],[Kategori]], tbl_target[Kategori], tbl_target[Target_Margin], 0)</f>
        <v>0.35</v>
      </c>
      <c r="K431" t="s">
        <v>36</v>
      </c>
      <c r="L431" t="s">
        <v>41</v>
      </c>
      <c r="M431">
        <v>3012801</v>
      </c>
    </row>
    <row r="432" spans="1:13" x14ac:dyDescent="0.3">
      <c r="A432" t="s">
        <v>329</v>
      </c>
      <c r="B432" t="s">
        <v>327</v>
      </c>
      <c r="C432" t="s">
        <v>23</v>
      </c>
      <c r="D432" t="s">
        <v>24</v>
      </c>
      <c r="E432">
        <v>9200000</v>
      </c>
      <c r="F432">
        <v>4741950</v>
      </c>
      <c r="G432">
        <v>4458050</v>
      </c>
      <c r="H432" s="5">
        <f>IFERROR((tbl_raw[[#This Row],[Revenue]]-tbl_raw[[#This Row],[COGS]]) / tbl_raw[[#This Row],[Revenue]], 0)</f>
        <v>0.48457065217391304</v>
      </c>
      <c r="I432" s="5" t="str" cm="1">
        <f t="array" ref="I43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32" s="5">
        <f>_xlfn.XLOOKUP(tbl_raw[[#This Row],[Kategori]], tbl_target[Kategori], tbl_target[Target_Margin], 0)</f>
        <v>0.35</v>
      </c>
      <c r="K432" t="s">
        <v>36</v>
      </c>
      <c r="L432" t="s">
        <v>25</v>
      </c>
      <c r="M432">
        <v>11617441</v>
      </c>
    </row>
    <row r="433" spans="1:13" x14ac:dyDescent="0.3">
      <c r="A433" t="s">
        <v>329</v>
      </c>
      <c r="B433" t="s">
        <v>327</v>
      </c>
      <c r="C433" t="s">
        <v>12</v>
      </c>
      <c r="D433" t="s">
        <v>13</v>
      </c>
      <c r="E433">
        <v>11400000</v>
      </c>
      <c r="F433">
        <v>5689056</v>
      </c>
      <c r="G433">
        <v>5710944</v>
      </c>
      <c r="H433" s="5">
        <f>IFERROR((tbl_raw[[#This Row],[Revenue]]-tbl_raw[[#This Row],[COGS]]) / tbl_raw[[#This Row],[Revenue]], 0)</f>
        <v>0.50095999999999996</v>
      </c>
      <c r="I433" s="5" t="str" cm="1">
        <f t="array" ref="I43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33" s="5">
        <f>_xlfn.XLOOKUP(tbl_raw[[#This Row],[Kategori]], tbl_target[Kategori], tbl_target[Target_Margin], 0)</f>
        <v>0.25</v>
      </c>
      <c r="K433" t="s">
        <v>48</v>
      </c>
      <c r="L433" t="s">
        <v>31</v>
      </c>
      <c r="M433">
        <v>11948192</v>
      </c>
    </row>
    <row r="434" spans="1:13" x14ac:dyDescent="0.3">
      <c r="A434" t="s">
        <v>330</v>
      </c>
      <c r="B434" t="s">
        <v>327</v>
      </c>
      <c r="C434" t="s">
        <v>23</v>
      </c>
      <c r="D434" t="s">
        <v>24</v>
      </c>
      <c r="E434">
        <v>14600000</v>
      </c>
      <c r="F434">
        <v>5348942</v>
      </c>
      <c r="G434">
        <v>9251058</v>
      </c>
      <c r="H434" s="5">
        <f>IFERROR((tbl_raw[[#This Row],[Revenue]]-tbl_raw[[#This Row],[COGS]]) / tbl_raw[[#This Row],[Revenue]], 0)</f>
        <v>0.63363410958904109</v>
      </c>
      <c r="I434" s="5" t="str" cm="1">
        <f t="array" ref="I43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34" s="5">
        <f>_xlfn.XLOOKUP(tbl_raw[[#This Row],[Kategori]], tbl_target[Kategori], tbl_target[Target_Margin], 0)</f>
        <v>0.35</v>
      </c>
      <c r="K434" t="s">
        <v>48</v>
      </c>
      <c r="L434" t="s">
        <v>25</v>
      </c>
      <c r="M434">
        <v>13477421</v>
      </c>
    </row>
    <row r="435" spans="1:13" x14ac:dyDescent="0.3">
      <c r="A435" t="s">
        <v>330</v>
      </c>
      <c r="B435" t="s">
        <v>327</v>
      </c>
      <c r="C435" t="s">
        <v>23</v>
      </c>
      <c r="D435" t="s">
        <v>24</v>
      </c>
      <c r="E435">
        <v>14400000</v>
      </c>
      <c r="F435">
        <v>6108221</v>
      </c>
      <c r="G435">
        <v>8291779</v>
      </c>
      <c r="H435" s="5">
        <f>IFERROR((tbl_raw[[#This Row],[Revenue]]-tbl_raw[[#This Row],[COGS]]) / tbl_raw[[#This Row],[Revenue]], 0)</f>
        <v>0.57581798611111112</v>
      </c>
      <c r="I435" s="5" t="str" cm="1">
        <f t="array" ref="I43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35" s="5">
        <f>_xlfn.XLOOKUP(tbl_raw[[#This Row],[Kategori]], tbl_target[Kategori], tbl_target[Target_Margin], 0)</f>
        <v>0.35</v>
      </c>
      <c r="K435" t="s">
        <v>22</v>
      </c>
      <c r="L435" t="s">
        <v>15</v>
      </c>
      <c r="M435">
        <v>13425110</v>
      </c>
    </row>
    <row r="436" spans="1:13" x14ac:dyDescent="0.3">
      <c r="A436" t="s">
        <v>330</v>
      </c>
      <c r="B436" t="s">
        <v>327</v>
      </c>
      <c r="C436" t="s">
        <v>12</v>
      </c>
      <c r="D436" t="s">
        <v>32</v>
      </c>
      <c r="E436">
        <v>5500000</v>
      </c>
      <c r="F436">
        <v>2666496</v>
      </c>
      <c r="G436">
        <v>2833504</v>
      </c>
      <c r="H436" s="5">
        <f>IFERROR((tbl_raw[[#This Row],[Revenue]]-tbl_raw[[#This Row],[COGS]]) / tbl_raw[[#This Row],[Revenue]], 0)</f>
        <v>0.51518254545454545</v>
      </c>
      <c r="I436" s="5" t="str" cm="1">
        <f t="array" ref="I43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36" s="5">
        <f>_xlfn.XLOOKUP(tbl_raw[[#This Row],[Kategori]], tbl_target[Kategori], tbl_target[Target_Margin], 0)</f>
        <v>0.25</v>
      </c>
      <c r="K436" t="s">
        <v>48</v>
      </c>
      <c r="L436" t="s">
        <v>49</v>
      </c>
      <c r="M436">
        <v>7073301</v>
      </c>
    </row>
    <row r="437" spans="1:13" x14ac:dyDescent="0.3">
      <c r="A437" t="s">
        <v>331</v>
      </c>
      <c r="B437" t="s">
        <v>327</v>
      </c>
      <c r="C437" t="s">
        <v>20</v>
      </c>
      <c r="D437" t="s">
        <v>30</v>
      </c>
      <c r="E437">
        <v>17900000</v>
      </c>
      <c r="F437">
        <v>8460266</v>
      </c>
      <c r="G437">
        <v>9439734</v>
      </c>
      <c r="H437" s="5">
        <f>IFERROR((tbl_raw[[#This Row],[Revenue]]-tbl_raw[[#This Row],[COGS]]) / tbl_raw[[#This Row],[Revenue]], 0)</f>
        <v>0.52735944134078216</v>
      </c>
      <c r="I437" s="5" t="str" cm="1">
        <f t="array" ref="I43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37" s="5">
        <f>_xlfn.XLOOKUP(tbl_raw[[#This Row],[Kategori]], tbl_target[Kategori], tbl_target[Target_Margin], 0)</f>
        <v>0.4</v>
      </c>
      <c r="K437" t="s">
        <v>36</v>
      </c>
      <c r="L437" t="s">
        <v>41</v>
      </c>
      <c r="M437">
        <v>16557878</v>
      </c>
    </row>
    <row r="438" spans="1:13" x14ac:dyDescent="0.3">
      <c r="A438" t="s">
        <v>331</v>
      </c>
      <c r="B438" t="s">
        <v>327</v>
      </c>
      <c r="C438" t="s">
        <v>12</v>
      </c>
      <c r="D438" t="s">
        <v>17</v>
      </c>
      <c r="E438">
        <v>7500000</v>
      </c>
      <c r="F438">
        <v>3959826</v>
      </c>
      <c r="G438">
        <v>3540174</v>
      </c>
      <c r="H438" s="5">
        <f>IFERROR((tbl_raw[[#This Row],[Revenue]]-tbl_raw[[#This Row],[COGS]]) / tbl_raw[[#This Row],[Revenue]], 0)</f>
        <v>0.47202319999999998</v>
      </c>
      <c r="I438" s="5" t="str" cm="1">
        <f t="array" ref="I43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38" s="5">
        <f>_xlfn.XLOOKUP(tbl_raw[[#This Row],[Kategori]], tbl_target[Kategori], tbl_target[Target_Margin], 0)</f>
        <v>0.25</v>
      </c>
      <c r="K438" t="s">
        <v>22</v>
      </c>
      <c r="L438" t="s">
        <v>41</v>
      </c>
      <c r="M438">
        <v>7364184</v>
      </c>
    </row>
    <row r="439" spans="1:13" x14ac:dyDescent="0.3">
      <c r="A439" t="s">
        <v>331</v>
      </c>
      <c r="B439" t="s">
        <v>327</v>
      </c>
      <c r="C439" t="s">
        <v>12</v>
      </c>
      <c r="D439" t="s">
        <v>32</v>
      </c>
      <c r="E439">
        <v>17100000</v>
      </c>
      <c r="F439">
        <v>9628004</v>
      </c>
      <c r="G439">
        <v>7471996</v>
      </c>
      <c r="H439" s="5">
        <f>IFERROR((tbl_raw[[#This Row],[Revenue]]-tbl_raw[[#This Row],[COGS]]) / tbl_raw[[#This Row],[Revenue]], 0)</f>
        <v>0.43695883040935674</v>
      </c>
      <c r="I439" s="5" t="str" cm="1">
        <f t="array" ref="I43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39" s="5">
        <f>_xlfn.XLOOKUP(tbl_raw[[#This Row],[Kategori]], tbl_target[Kategori], tbl_target[Target_Margin], 0)</f>
        <v>0.25</v>
      </c>
      <c r="K439" t="s">
        <v>14</v>
      </c>
      <c r="L439" t="s">
        <v>28</v>
      </c>
      <c r="M439">
        <v>20663095</v>
      </c>
    </row>
    <row r="440" spans="1:13" x14ac:dyDescent="0.3">
      <c r="A440" t="s">
        <v>332</v>
      </c>
      <c r="B440" t="s">
        <v>327</v>
      </c>
      <c r="C440" t="s">
        <v>20</v>
      </c>
      <c r="D440" t="s">
        <v>40</v>
      </c>
      <c r="E440">
        <v>4700000</v>
      </c>
      <c r="F440">
        <v>2690445</v>
      </c>
      <c r="G440">
        <v>2009555</v>
      </c>
      <c r="H440" s="5">
        <f>IFERROR((tbl_raw[[#This Row],[Revenue]]-tbl_raw[[#This Row],[COGS]]) / tbl_raw[[#This Row],[Revenue]], 0)</f>
        <v>0.42756489361702127</v>
      </c>
      <c r="I440" s="5" t="str" cm="1">
        <f t="array" ref="I44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40" s="5">
        <f>_xlfn.XLOOKUP(tbl_raw[[#This Row],[Kategori]], tbl_target[Kategori], tbl_target[Target_Margin], 0)</f>
        <v>0.4</v>
      </c>
      <c r="K440" t="s">
        <v>48</v>
      </c>
      <c r="L440" t="s">
        <v>19</v>
      </c>
      <c r="M440">
        <v>4567116</v>
      </c>
    </row>
    <row r="441" spans="1:13" x14ac:dyDescent="0.3">
      <c r="A441" t="s">
        <v>333</v>
      </c>
      <c r="B441" t="s">
        <v>327</v>
      </c>
      <c r="C441" t="s">
        <v>23</v>
      </c>
      <c r="D441" t="s">
        <v>58</v>
      </c>
      <c r="E441">
        <v>16400000</v>
      </c>
      <c r="F441">
        <v>6817499</v>
      </c>
      <c r="G441">
        <v>9582501</v>
      </c>
      <c r="H441" s="5">
        <f>IFERROR((tbl_raw[[#This Row],[Revenue]]-tbl_raw[[#This Row],[COGS]]) / tbl_raw[[#This Row],[Revenue]], 0)</f>
        <v>0.5842988414634146</v>
      </c>
      <c r="I441" s="5" t="str" cm="1">
        <f t="array" ref="I44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41" s="5">
        <f>_xlfn.XLOOKUP(tbl_raw[[#This Row],[Kategori]], tbl_target[Kategori], tbl_target[Target_Margin], 0)</f>
        <v>0.35</v>
      </c>
      <c r="K441" t="s">
        <v>18</v>
      </c>
      <c r="L441" t="s">
        <v>19</v>
      </c>
      <c r="M441">
        <v>16726876</v>
      </c>
    </row>
    <row r="442" spans="1:13" x14ac:dyDescent="0.3">
      <c r="A442" t="s">
        <v>333</v>
      </c>
      <c r="B442" t="s">
        <v>327</v>
      </c>
      <c r="C442" t="s">
        <v>23</v>
      </c>
      <c r="D442" t="s">
        <v>24</v>
      </c>
      <c r="E442">
        <v>7000000</v>
      </c>
      <c r="F442">
        <v>2485701</v>
      </c>
      <c r="G442">
        <v>4514299</v>
      </c>
      <c r="H442" s="5">
        <f>IFERROR((tbl_raw[[#This Row],[Revenue]]-tbl_raw[[#This Row],[COGS]]) / tbl_raw[[#This Row],[Revenue]], 0)</f>
        <v>0.64489985714285714</v>
      </c>
      <c r="I442" s="5" t="str" cm="1">
        <f t="array" ref="I44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42" s="5">
        <f>_xlfn.XLOOKUP(tbl_raw[[#This Row],[Kategori]], tbl_target[Kategori], tbl_target[Target_Margin], 0)</f>
        <v>0.35</v>
      </c>
      <c r="K442" t="s">
        <v>14</v>
      </c>
      <c r="L442" t="s">
        <v>49</v>
      </c>
      <c r="M442">
        <v>7721557</v>
      </c>
    </row>
    <row r="443" spans="1:13" x14ac:dyDescent="0.3">
      <c r="A443" t="s">
        <v>333</v>
      </c>
      <c r="B443" t="s">
        <v>327</v>
      </c>
      <c r="C443" t="s">
        <v>20</v>
      </c>
      <c r="D443" t="s">
        <v>40</v>
      </c>
      <c r="E443">
        <v>900000</v>
      </c>
      <c r="F443">
        <v>451278</v>
      </c>
      <c r="G443">
        <v>448722</v>
      </c>
      <c r="H443" s="5">
        <f>IFERROR((tbl_raw[[#This Row],[Revenue]]-tbl_raw[[#This Row],[COGS]]) / tbl_raw[[#This Row],[Revenue]], 0)</f>
        <v>0.49858000000000002</v>
      </c>
      <c r="I443" s="5" t="str" cm="1">
        <f t="array" ref="I44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43" s="5">
        <f>_xlfn.XLOOKUP(tbl_raw[[#This Row],[Kategori]], tbl_target[Kategori], tbl_target[Target_Margin], 0)</f>
        <v>0.4</v>
      </c>
      <c r="K443" t="s">
        <v>18</v>
      </c>
      <c r="L443" t="s">
        <v>31</v>
      </c>
      <c r="M443">
        <v>741371</v>
      </c>
    </row>
    <row r="444" spans="1:13" x14ac:dyDescent="0.3">
      <c r="A444" t="s">
        <v>334</v>
      </c>
      <c r="B444" t="s">
        <v>327</v>
      </c>
      <c r="C444" t="s">
        <v>23</v>
      </c>
      <c r="D444" t="s">
        <v>58</v>
      </c>
      <c r="E444">
        <v>9600000</v>
      </c>
      <c r="F444">
        <v>4947804</v>
      </c>
      <c r="G444">
        <v>4652196</v>
      </c>
      <c r="H444" s="5">
        <f>IFERROR((tbl_raw[[#This Row],[Revenue]]-tbl_raw[[#This Row],[COGS]]) / tbl_raw[[#This Row],[Revenue]], 0)</f>
        <v>0.48460375</v>
      </c>
      <c r="I444" s="5" t="str" cm="1">
        <f t="array" ref="I44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44" s="5">
        <f>_xlfn.XLOOKUP(tbl_raw[[#This Row],[Kategori]], tbl_target[Kategori], tbl_target[Target_Margin], 0)</f>
        <v>0.35</v>
      </c>
      <c r="K444" t="s">
        <v>14</v>
      </c>
      <c r="L444" t="s">
        <v>28</v>
      </c>
      <c r="M444">
        <v>7730728</v>
      </c>
    </row>
    <row r="445" spans="1:13" x14ac:dyDescent="0.3">
      <c r="A445" t="s">
        <v>334</v>
      </c>
      <c r="B445" t="s">
        <v>327</v>
      </c>
      <c r="C445" t="s">
        <v>23</v>
      </c>
      <c r="D445" t="s">
        <v>24</v>
      </c>
      <c r="E445">
        <v>14100000</v>
      </c>
      <c r="F445">
        <v>7263321</v>
      </c>
      <c r="G445">
        <v>6836679</v>
      </c>
      <c r="H445" s="5">
        <f>IFERROR((tbl_raw[[#This Row],[Revenue]]-tbl_raw[[#This Row],[COGS]]) / tbl_raw[[#This Row],[Revenue]], 0)</f>
        <v>0.48487085106382977</v>
      </c>
      <c r="I445" s="5" t="str" cm="1">
        <f t="array" ref="I44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45" s="5">
        <f>_xlfn.XLOOKUP(tbl_raw[[#This Row],[Kategori]], tbl_target[Kategori], tbl_target[Target_Margin], 0)</f>
        <v>0.35</v>
      </c>
      <c r="K445" t="s">
        <v>36</v>
      </c>
      <c r="L445" t="s">
        <v>34</v>
      </c>
      <c r="M445">
        <v>12799892</v>
      </c>
    </row>
    <row r="446" spans="1:13" x14ac:dyDescent="0.3">
      <c r="A446" t="s">
        <v>334</v>
      </c>
      <c r="B446" t="s">
        <v>327</v>
      </c>
      <c r="C446" t="s">
        <v>23</v>
      </c>
      <c r="D446" t="s">
        <v>27</v>
      </c>
      <c r="E446">
        <v>1800000</v>
      </c>
      <c r="F446">
        <v>837875</v>
      </c>
      <c r="G446">
        <v>962125</v>
      </c>
      <c r="H446" s="5">
        <f>IFERROR((tbl_raw[[#This Row],[Revenue]]-tbl_raw[[#This Row],[COGS]]) / tbl_raw[[#This Row],[Revenue]], 0)</f>
        <v>0.53451388888888884</v>
      </c>
      <c r="I446" s="5" t="str" cm="1">
        <f t="array" ref="I44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46" s="5">
        <f>_xlfn.XLOOKUP(tbl_raw[[#This Row],[Kategori]], tbl_target[Kategori], tbl_target[Target_Margin], 0)</f>
        <v>0.35</v>
      </c>
      <c r="K446" t="s">
        <v>22</v>
      </c>
      <c r="L446" t="s">
        <v>49</v>
      </c>
      <c r="M446">
        <v>1646270</v>
      </c>
    </row>
    <row r="447" spans="1:13" x14ac:dyDescent="0.3">
      <c r="A447" t="s">
        <v>335</v>
      </c>
      <c r="B447" t="s">
        <v>327</v>
      </c>
      <c r="C447" t="s">
        <v>23</v>
      </c>
      <c r="D447" t="s">
        <v>58</v>
      </c>
      <c r="E447">
        <v>8800000</v>
      </c>
      <c r="F447">
        <v>3525053</v>
      </c>
      <c r="G447">
        <v>5274947</v>
      </c>
      <c r="H447" s="5">
        <f>IFERROR((tbl_raw[[#This Row],[Revenue]]-tbl_raw[[#This Row],[COGS]]) / tbl_raw[[#This Row],[Revenue]], 0)</f>
        <v>0.59942579545454544</v>
      </c>
      <c r="I447" s="5" t="str" cm="1">
        <f t="array" ref="I44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47" s="5">
        <f>_xlfn.XLOOKUP(tbl_raw[[#This Row],[Kategori]], tbl_target[Kategori], tbl_target[Target_Margin], 0)</f>
        <v>0.35</v>
      </c>
      <c r="K447" t="s">
        <v>48</v>
      </c>
      <c r="L447" t="s">
        <v>19</v>
      </c>
      <c r="M447">
        <v>7993021</v>
      </c>
    </row>
    <row r="448" spans="1:13" x14ac:dyDescent="0.3">
      <c r="A448" t="s">
        <v>336</v>
      </c>
      <c r="B448" t="s">
        <v>327</v>
      </c>
      <c r="C448" t="s">
        <v>20</v>
      </c>
      <c r="D448" t="s">
        <v>40</v>
      </c>
      <c r="E448">
        <v>14500000</v>
      </c>
      <c r="F448">
        <v>6126950</v>
      </c>
      <c r="G448">
        <v>8373050</v>
      </c>
      <c r="H448" s="5">
        <f>IFERROR((tbl_raw[[#This Row],[Revenue]]-tbl_raw[[#This Row],[COGS]]) / tbl_raw[[#This Row],[Revenue]], 0)</f>
        <v>0.577451724137931</v>
      </c>
      <c r="I448" s="5" t="str" cm="1">
        <f t="array" ref="I44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48" s="5">
        <f>_xlfn.XLOOKUP(tbl_raw[[#This Row],[Kategori]], tbl_target[Kategori], tbl_target[Target_Margin], 0)</f>
        <v>0.4</v>
      </c>
      <c r="K448" t="s">
        <v>36</v>
      </c>
      <c r="L448" t="s">
        <v>49</v>
      </c>
      <c r="M448">
        <v>18826728</v>
      </c>
    </row>
    <row r="449" spans="1:13" x14ac:dyDescent="0.3">
      <c r="A449" t="s">
        <v>337</v>
      </c>
      <c r="B449" t="s">
        <v>327</v>
      </c>
      <c r="C449" t="s">
        <v>12</v>
      </c>
      <c r="D449" t="s">
        <v>13</v>
      </c>
      <c r="E449">
        <v>14300000</v>
      </c>
      <c r="F449">
        <v>8049769</v>
      </c>
      <c r="G449">
        <v>6250231</v>
      </c>
      <c r="H449" s="5">
        <f>IFERROR((tbl_raw[[#This Row],[Revenue]]-tbl_raw[[#This Row],[COGS]]) / tbl_raw[[#This Row],[Revenue]], 0)</f>
        <v>0.43707909090909092</v>
      </c>
      <c r="I449" s="5" t="str" cm="1">
        <f t="array" ref="I44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49" s="5">
        <f>_xlfn.XLOOKUP(tbl_raw[[#This Row],[Kategori]], tbl_target[Kategori], tbl_target[Target_Margin], 0)</f>
        <v>0.25</v>
      </c>
      <c r="K449" t="s">
        <v>48</v>
      </c>
      <c r="L449" t="s">
        <v>19</v>
      </c>
      <c r="M449">
        <v>18500548</v>
      </c>
    </row>
    <row r="450" spans="1:13" x14ac:dyDescent="0.3">
      <c r="A450" t="s">
        <v>338</v>
      </c>
      <c r="B450" t="s">
        <v>327</v>
      </c>
      <c r="C450" t="s">
        <v>23</v>
      </c>
      <c r="D450" t="s">
        <v>58</v>
      </c>
      <c r="E450">
        <v>4900000</v>
      </c>
      <c r="F450">
        <v>2585006</v>
      </c>
      <c r="G450">
        <v>2314994</v>
      </c>
      <c r="H450" s="5">
        <f>IFERROR((tbl_raw[[#This Row],[Revenue]]-tbl_raw[[#This Row],[COGS]]) / tbl_raw[[#This Row],[Revenue]], 0)</f>
        <v>0.47244775510204079</v>
      </c>
      <c r="I450" s="5" t="str" cm="1">
        <f t="array" ref="I45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50" s="5">
        <f>_xlfn.XLOOKUP(tbl_raw[[#This Row],[Kategori]], tbl_target[Kategori], tbl_target[Target_Margin], 0)</f>
        <v>0.35</v>
      </c>
      <c r="K450" t="s">
        <v>48</v>
      </c>
      <c r="L450" t="s">
        <v>49</v>
      </c>
      <c r="M450">
        <v>5667902</v>
      </c>
    </row>
    <row r="451" spans="1:13" x14ac:dyDescent="0.3">
      <c r="A451" t="s">
        <v>339</v>
      </c>
      <c r="B451" t="s">
        <v>327</v>
      </c>
      <c r="C451" t="s">
        <v>20</v>
      </c>
      <c r="D451" t="s">
        <v>21</v>
      </c>
      <c r="E451">
        <v>10000000</v>
      </c>
      <c r="F451">
        <v>5110000</v>
      </c>
      <c r="G451">
        <v>4890000</v>
      </c>
      <c r="H451" s="5">
        <f>IFERROR((tbl_raw[[#This Row],[Revenue]]-tbl_raw[[#This Row],[COGS]]) / tbl_raw[[#This Row],[Revenue]], 0)</f>
        <v>0.48899999999999999</v>
      </c>
      <c r="I451" s="5" t="str" cm="1">
        <f t="array" ref="I45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51" s="5">
        <f>_xlfn.XLOOKUP(tbl_raw[[#This Row],[Kategori]], tbl_target[Kategori], tbl_target[Target_Margin], 0)</f>
        <v>0.4</v>
      </c>
      <c r="K451" t="s">
        <v>48</v>
      </c>
      <c r="L451" t="s">
        <v>41</v>
      </c>
      <c r="M451">
        <v>9067568</v>
      </c>
    </row>
    <row r="452" spans="1:13" x14ac:dyDescent="0.3">
      <c r="A452" t="s">
        <v>339</v>
      </c>
      <c r="B452" t="s">
        <v>327</v>
      </c>
      <c r="C452" t="s">
        <v>20</v>
      </c>
      <c r="D452" t="s">
        <v>21</v>
      </c>
      <c r="E452">
        <v>15300000</v>
      </c>
      <c r="F452">
        <v>8963008</v>
      </c>
      <c r="G452">
        <v>6336992</v>
      </c>
      <c r="H452" s="5">
        <f>IFERROR((tbl_raw[[#This Row],[Revenue]]-tbl_raw[[#This Row],[COGS]]) / tbl_raw[[#This Row],[Revenue]], 0)</f>
        <v>0.41418248366013072</v>
      </c>
      <c r="I452" s="5" t="str" cm="1">
        <f t="array" ref="I45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52" s="5">
        <f>_xlfn.XLOOKUP(tbl_raw[[#This Row],[Kategori]], tbl_target[Kategori], tbl_target[Target_Margin], 0)</f>
        <v>0.4</v>
      </c>
      <c r="K452" t="s">
        <v>36</v>
      </c>
      <c r="L452" t="s">
        <v>49</v>
      </c>
      <c r="M452">
        <v>17367612</v>
      </c>
    </row>
    <row r="453" spans="1:13" x14ac:dyDescent="0.3">
      <c r="A453" t="s">
        <v>340</v>
      </c>
      <c r="B453" t="s">
        <v>327</v>
      </c>
      <c r="C453" t="s">
        <v>12</v>
      </c>
      <c r="D453" t="s">
        <v>13</v>
      </c>
      <c r="E453">
        <v>1800000</v>
      </c>
      <c r="F453">
        <v>837107</v>
      </c>
      <c r="G453">
        <v>962893</v>
      </c>
      <c r="H453" s="5">
        <f>IFERROR((tbl_raw[[#This Row],[Revenue]]-tbl_raw[[#This Row],[COGS]]) / tbl_raw[[#This Row],[Revenue]], 0)</f>
        <v>0.53494055555555553</v>
      </c>
      <c r="I453" s="5" t="str" cm="1">
        <f t="array" ref="I45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53" s="5">
        <f>_xlfn.XLOOKUP(tbl_raw[[#This Row],[Kategori]], tbl_target[Kategori], tbl_target[Target_Margin], 0)</f>
        <v>0.25</v>
      </c>
      <c r="K453" t="s">
        <v>14</v>
      </c>
      <c r="L453" t="s">
        <v>34</v>
      </c>
      <c r="M453">
        <v>1834083</v>
      </c>
    </row>
    <row r="454" spans="1:13" x14ac:dyDescent="0.3">
      <c r="A454" t="s">
        <v>340</v>
      </c>
      <c r="B454" t="s">
        <v>327</v>
      </c>
      <c r="C454" t="s">
        <v>12</v>
      </c>
      <c r="D454" t="s">
        <v>32</v>
      </c>
      <c r="E454">
        <v>10800000</v>
      </c>
      <c r="F454">
        <v>5031784</v>
      </c>
      <c r="G454">
        <v>5768216</v>
      </c>
      <c r="H454" s="5">
        <f>IFERROR((tbl_raw[[#This Row],[Revenue]]-tbl_raw[[#This Row],[COGS]]) / tbl_raw[[#This Row],[Revenue]], 0)</f>
        <v>0.53409407407407405</v>
      </c>
      <c r="I454" s="5" t="str" cm="1">
        <f t="array" ref="I45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54" s="5">
        <f>_xlfn.XLOOKUP(tbl_raw[[#This Row],[Kategori]], tbl_target[Kategori], tbl_target[Target_Margin], 0)</f>
        <v>0.25</v>
      </c>
      <c r="K454" t="s">
        <v>36</v>
      </c>
      <c r="L454" t="s">
        <v>15</v>
      </c>
      <c r="M454">
        <v>13495083</v>
      </c>
    </row>
    <row r="455" spans="1:13" x14ac:dyDescent="0.3">
      <c r="A455" t="s">
        <v>340</v>
      </c>
      <c r="B455" t="s">
        <v>327</v>
      </c>
      <c r="C455" t="s">
        <v>23</v>
      </c>
      <c r="D455" t="s">
        <v>58</v>
      </c>
      <c r="E455">
        <v>16500000</v>
      </c>
      <c r="F455">
        <v>7350830</v>
      </c>
      <c r="G455">
        <v>9149170</v>
      </c>
      <c r="H455" s="5">
        <f>IFERROR((tbl_raw[[#This Row],[Revenue]]-tbl_raw[[#This Row],[COGS]]) / tbl_raw[[#This Row],[Revenue]], 0)</f>
        <v>0.5544951515151515</v>
      </c>
      <c r="I455" s="5" t="str" cm="1">
        <f t="array" ref="I45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55" s="5">
        <f>_xlfn.XLOOKUP(tbl_raw[[#This Row],[Kategori]], tbl_target[Kategori], tbl_target[Target_Margin], 0)</f>
        <v>0.35</v>
      </c>
      <c r="K455" t="s">
        <v>36</v>
      </c>
      <c r="L455" t="s">
        <v>19</v>
      </c>
      <c r="M455">
        <v>14495071</v>
      </c>
    </row>
    <row r="456" spans="1:13" x14ac:dyDescent="0.3">
      <c r="A456" t="s">
        <v>341</v>
      </c>
      <c r="B456" t="s">
        <v>327</v>
      </c>
      <c r="C456" t="s">
        <v>20</v>
      </c>
      <c r="D456" t="s">
        <v>30</v>
      </c>
      <c r="E456">
        <v>1800000</v>
      </c>
      <c r="F456">
        <v>681824</v>
      </c>
      <c r="G456">
        <v>1118176</v>
      </c>
      <c r="H456" s="5">
        <f>IFERROR((tbl_raw[[#This Row],[Revenue]]-tbl_raw[[#This Row],[COGS]]) / tbl_raw[[#This Row],[Revenue]], 0)</f>
        <v>0.62120888888888892</v>
      </c>
      <c r="I456" s="5" t="str" cm="1">
        <f t="array" ref="I45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56" s="5">
        <f>_xlfn.XLOOKUP(tbl_raw[[#This Row],[Kategori]], tbl_target[Kategori], tbl_target[Target_Margin], 0)</f>
        <v>0.4</v>
      </c>
      <c r="K456" t="s">
        <v>22</v>
      </c>
      <c r="L456" t="s">
        <v>31</v>
      </c>
      <c r="M456">
        <v>2134239</v>
      </c>
    </row>
    <row r="457" spans="1:13" x14ac:dyDescent="0.3">
      <c r="A457" t="s">
        <v>342</v>
      </c>
      <c r="B457" t="s">
        <v>327</v>
      </c>
      <c r="C457" t="s">
        <v>12</v>
      </c>
      <c r="D457" t="s">
        <v>13</v>
      </c>
      <c r="E457">
        <v>19400000</v>
      </c>
      <c r="F457">
        <v>7142129</v>
      </c>
      <c r="G457">
        <v>12257871</v>
      </c>
      <c r="H457" s="5">
        <f>IFERROR((tbl_raw[[#This Row],[Revenue]]-tbl_raw[[#This Row],[COGS]]) / tbl_raw[[#This Row],[Revenue]], 0)</f>
        <v>0.63184902061855674</v>
      </c>
      <c r="I457" s="5" t="str" cm="1">
        <f t="array" ref="I45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57" s="5">
        <f>_xlfn.XLOOKUP(tbl_raw[[#This Row],[Kategori]], tbl_target[Kategori], tbl_target[Target_Margin], 0)</f>
        <v>0.25</v>
      </c>
      <c r="K457" t="s">
        <v>14</v>
      </c>
      <c r="L457" t="s">
        <v>41</v>
      </c>
      <c r="M457">
        <v>22125319</v>
      </c>
    </row>
    <row r="458" spans="1:13" x14ac:dyDescent="0.3">
      <c r="A458" t="s">
        <v>342</v>
      </c>
      <c r="B458" t="s">
        <v>327</v>
      </c>
      <c r="C458" t="s">
        <v>12</v>
      </c>
      <c r="D458" t="s">
        <v>13</v>
      </c>
      <c r="E458">
        <v>15100000</v>
      </c>
      <c r="F458">
        <v>8971034</v>
      </c>
      <c r="G458">
        <v>6128966</v>
      </c>
      <c r="H458" s="5">
        <f>IFERROR((tbl_raw[[#This Row],[Revenue]]-tbl_raw[[#This Row],[COGS]]) / tbl_raw[[#This Row],[Revenue]], 0)</f>
        <v>0.40589178807947018</v>
      </c>
      <c r="I458" s="5" t="str" cm="1">
        <f t="array" ref="I45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58" s="5">
        <f>_xlfn.XLOOKUP(tbl_raw[[#This Row],[Kategori]], tbl_target[Kategori], tbl_target[Target_Margin], 0)</f>
        <v>0.25</v>
      </c>
      <c r="K458" t="s">
        <v>48</v>
      </c>
      <c r="L458" t="s">
        <v>25</v>
      </c>
      <c r="M458">
        <v>14918657</v>
      </c>
    </row>
    <row r="459" spans="1:13" x14ac:dyDescent="0.3">
      <c r="A459" t="s">
        <v>343</v>
      </c>
      <c r="B459" t="s">
        <v>327</v>
      </c>
      <c r="C459" t="s">
        <v>12</v>
      </c>
      <c r="D459" t="s">
        <v>17</v>
      </c>
      <c r="E459">
        <v>18200000</v>
      </c>
      <c r="F459">
        <v>8598023</v>
      </c>
      <c r="G459">
        <v>9601977</v>
      </c>
      <c r="H459" s="5">
        <f>IFERROR((tbl_raw[[#This Row],[Revenue]]-tbl_raw[[#This Row],[COGS]]) / tbl_raw[[#This Row],[Revenue]], 0)</f>
        <v>0.52758115384615389</v>
      </c>
      <c r="I459" s="5" t="str" cm="1">
        <f t="array" ref="I45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59" s="5">
        <f>_xlfn.XLOOKUP(tbl_raw[[#This Row],[Kategori]], tbl_target[Kategori], tbl_target[Target_Margin], 0)</f>
        <v>0.25</v>
      </c>
      <c r="K459" t="s">
        <v>14</v>
      </c>
      <c r="L459" t="s">
        <v>31</v>
      </c>
      <c r="M459">
        <v>17675931</v>
      </c>
    </row>
    <row r="460" spans="1:13" x14ac:dyDescent="0.3">
      <c r="A460" t="s">
        <v>343</v>
      </c>
      <c r="B460" t="s">
        <v>327</v>
      </c>
      <c r="C460" t="s">
        <v>23</v>
      </c>
      <c r="D460" t="s">
        <v>27</v>
      </c>
      <c r="E460">
        <v>6600000</v>
      </c>
      <c r="F460">
        <v>3731785</v>
      </c>
      <c r="G460">
        <v>2868215</v>
      </c>
      <c r="H460" s="5">
        <f>IFERROR((tbl_raw[[#This Row],[Revenue]]-tbl_raw[[#This Row],[COGS]]) / tbl_raw[[#This Row],[Revenue]], 0)</f>
        <v>0.43457803030303033</v>
      </c>
      <c r="I460" s="5" t="str" cm="1">
        <f t="array" ref="I46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60" s="5">
        <f>_xlfn.XLOOKUP(tbl_raw[[#This Row],[Kategori]], tbl_target[Kategori], tbl_target[Target_Margin], 0)</f>
        <v>0.35</v>
      </c>
      <c r="K460" t="s">
        <v>14</v>
      </c>
      <c r="L460" t="s">
        <v>28</v>
      </c>
      <c r="M460">
        <v>8033123</v>
      </c>
    </row>
    <row r="461" spans="1:13" x14ac:dyDescent="0.3">
      <c r="A461" t="s">
        <v>344</v>
      </c>
      <c r="B461" t="s">
        <v>327</v>
      </c>
      <c r="C461" t="s">
        <v>23</v>
      </c>
      <c r="D461" t="s">
        <v>24</v>
      </c>
      <c r="E461">
        <v>18600000</v>
      </c>
      <c r="F461">
        <v>7098975</v>
      </c>
      <c r="G461">
        <v>11501025</v>
      </c>
      <c r="H461" s="5">
        <f>IFERROR((tbl_raw[[#This Row],[Revenue]]-tbl_raw[[#This Row],[COGS]]) / tbl_raw[[#This Row],[Revenue]], 0)</f>
        <v>0.61833467741935488</v>
      </c>
      <c r="I461" s="5" t="str" cm="1">
        <f t="array" ref="I46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61" s="5">
        <f>_xlfn.XLOOKUP(tbl_raw[[#This Row],[Kategori]], tbl_target[Kategori], tbl_target[Target_Margin], 0)</f>
        <v>0.35</v>
      </c>
      <c r="K461" t="s">
        <v>14</v>
      </c>
      <c r="L461" t="s">
        <v>25</v>
      </c>
      <c r="M461">
        <v>21742113</v>
      </c>
    </row>
    <row r="462" spans="1:13" x14ac:dyDescent="0.3">
      <c r="A462" t="s">
        <v>345</v>
      </c>
      <c r="B462" t="s">
        <v>327</v>
      </c>
      <c r="C462" t="s">
        <v>20</v>
      </c>
      <c r="D462" t="s">
        <v>30</v>
      </c>
      <c r="E462">
        <v>10000000</v>
      </c>
      <c r="F462">
        <v>5146503</v>
      </c>
      <c r="G462">
        <v>4853497</v>
      </c>
      <c r="H462" s="5">
        <f>IFERROR((tbl_raw[[#This Row],[Revenue]]-tbl_raw[[#This Row],[COGS]]) / tbl_raw[[#This Row],[Revenue]], 0)</f>
        <v>0.4853497</v>
      </c>
      <c r="I462" s="5" t="str" cm="1">
        <f t="array" ref="I46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62" s="5">
        <f>_xlfn.XLOOKUP(tbl_raw[[#This Row],[Kategori]], tbl_target[Kategori], tbl_target[Target_Margin], 0)</f>
        <v>0.4</v>
      </c>
      <c r="K462" t="s">
        <v>14</v>
      </c>
      <c r="L462" t="s">
        <v>15</v>
      </c>
      <c r="M462">
        <v>9856361</v>
      </c>
    </row>
    <row r="463" spans="1:13" x14ac:dyDescent="0.3">
      <c r="A463" t="s">
        <v>346</v>
      </c>
      <c r="B463" t="s">
        <v>347</v>
      </c>
      <c r="C463" t="s">
        <v>12</v>
      </c>
      <c r="D463" t="s">
        <v>13</v>
      </c>
      <c r="E463">
        <v>4900000</v>
      </c>
      <c r="F463">
        <v>2069932</v>
      </c>
      <c r="G463">
        <v>2830068</v>
      </c>
      <c r="H463" s="5">
        <f>IFERROR((tbl_raw[[#This Row],[Revenue]]-tbl_raw[[#This Row],[COGS]]) / tbl_raw[[#This Row],[Revenue]], 0)</f>
        <v>0.57756489795918364</v>
      </c>
      <c r="I463" s="5" t="str" cm="1">
        <f t="array" ref="I46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63" s="5">
        <f>_xlfn.XLOOKUP(tbl_raw[[#This Row],[Kategori]], tbl_target[Kategori], tbl_target[Target_Margin], 0)</f>
        <v>0.25</v>
      </c>
      <c r="K463" t="s">
        <v>14</v>
      </c>
      <c r="L463" t="s">
        <v>15</v>
      </c>
      <c r="M463">
        <v>4168673</v>
      </c>
    </row>
    <row r="464" spans="1:13" x14ac:dyDescent="0.3">
      <c r="A464" t="s">
        <v>348</v>
      </c>
      <c r="B464" t="s">
        <v>347</v>
      </c>
      <c r="C464" t="s">
        <v>12</v>
      </c>
      <c r="D464" t="s">
        <v>32</v>
      </c>
      <c r="E464">
        <v>14200000</v>
      </c>
      <c r="F464">
        <v>6533476</v>
      </c>
      <c r="G464">
        <v>7666524</v>
      </c>
      <c r="H464" s="5">
        <f>IFERROR((tbl_raw[[#This Row],[Revenue]]-tbl_raw[[#This Row],[COGS]]) / tbl_raw[[#This Row],[Revenue]], 0)</f>
        <v>0.53989605633802817</v>
      </c>
      <c r="I464" s="5" t="str" cm="1">
        <f t="array" ref="I46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64" s="5">
        <f>_xlfn.XLOOKUP(tbl_raw[[#This Row],[Kategori]], tbl_target[Kategori], tbl_target[Target_Margin], 0)</f>
        <v>0.25</v>
      </c>
      <c r="K464" t="s">
        <v>22</v>
      </c>
      <c r="L464" t="s">
        <v>28</v>
      </c>
      <c r="M464">
        <v>17444101</v>
      </c>
    </row>
    <row r="465" spans="1:13" x14ac:dyDescent="0.3">
      <c r="A465" t="s">
        <v>348</v>
      </c>
      <c r="B465" t="s">
        <v>347</v>
      </c>
      <c r="C465" t="s">
        <v>12</v>
      </c>
      <c r="D465" t="s">
        <v>32</v>
      </c>
      <c r="E465">
        <v>3700000</v>
      </c>
      <c r="F465">
        <v>1593660</v>
      </c>
      <c r="G465">
        <v>2106340</v>
      </c>
      <c r="H465" s="5">
        <f>IFERROR((tbl_raw[[#This Row],[Revenue]]-tbl_raw[[#This Row],[COGS]]) / tbl_raw[[#This Row],[Revenue]], 0)</f>
        <v>0.56928108108108111</v>
      </c>
      <c r="I465" s="5" t="str" cm="1">
        <f t="array" ref="I46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65" s="5">
        <f>_xlfn.XLOOKUP(tbl_raw[[#This Row],[Kategori]], tbl_target[Kategori], tbl_target[Target_Margin], 0)</f>
        <v>0.25</v>
      </c>
      <c r="K465" t="s">
        <v>14</v>
      </c>
      <c r="L465" t="s">
        <v>31</v>
      </c>
      <c r="M465">
        <v>3958974</v>
      </c>
    </row>
    <row r="466" spans="1:13" x14ac:dyDescent="0.3">
      <c r="A466" t="s">
        <v>348</v>
      </c>
      <c r="B466" t="s">
        <v>347</v>
      </c>
      <c r="C466" t="s">
        <v>12</v>
      </c>
      <c r="D466" t="s">
        <v>32</v>
      </c>
      <c r="E466">
        <v>8500000</v>
      </c>
      <c r="F466">
        <v>3228820</v>
      </c>
      <c r="G466">
        <v>5271180</v>
      </c>
      <c r="H466" s="5">
        <f>IFERROR((tbl_raw[[#This Row],[Revenue]]-tbl_raw[[#This Row],[COGS]]) / tbl_raw[[#This Row],[Revenue]], 0)</f>
        <v>0.62013882352941174</v>
      </c>
      <c r="I466" s="5" t="str" cm="1">
        <f t="array" ref="I46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66" s="5">
        <f>_xlfn.XLOOKUP(tbl_raw[[#This Row],[Kategori]], tbl_target[Kategori], tbl_target[Target_Margin], 0)</f>
        <v>0.25</v>
      </c>
      <c r="K466" t="s">
        <v>18</v>
      </c>
      <c r="L466" t="s">
        <v>49</v>
      </c>
      <c r="M466">
        <v>7569695</v>
      </c>
    </row>
    <row r="467" spans="1:13" x14ac:dyDescent="0.3">
      <c r="A467" t="s">
        <v>349</v>
      </c>
      <c r="B467" t="s">
        <v>347</v>
      </c>
      <c r="C467" t="s">
        <v>12</v>
      </c>
      <c r="D467" t="s">
        <v>13</v>
      </c>
      <c r="E467">
        <v>15100000</v>
      </c>
      <c r="F467">
        <v>6025983</v>
      </c>
      <c r="G467">
        <v>9074017</v>
      </c>
      <c r="H467" s="5">
        <f>IFERROR((tbl_raw[[#This Row],[Revenue]]-tbl_raw[[#This Row],[COGS]]) / tbl_raw[[#This Row],[Revenue]], 0)</f>
        <v>0.60092827814569538</v>
      </c>
      <c r="I467" s="5" t="str" cm="1">
        <f t="array" ref="I46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67" s="5">
        <f>_xlfn.XLOOKUP(tbl_raw[[#This Row],[Kategori]], tbl_target[Kategori], tbl_target[Target_Margin], 0)</f>
        <v>0.25</v>
      </c>
      <c r="K467" t="s">
        <v>48</v>
      </c>
      <c r="L467" t="s">
        <v>15</v>
      </c>
      <c r="M467">
        <v>13735799</v>
      </c>
    </row>
    <row r="468" spans="1:13" x14ac:dyDescent="0.3">
      <c r="A468" t="s">
        <v>349</v>
      </c>
      <c r="B468" t="s">
        <v>347</v>
      </c>
      <c r="C468" t="s">
        <v>12</v>
      </c>
      <c r="D468" t="s">
        <v>17</v>
      </c>
      <c r="E468">
        <v>3000000</v>
      </c>
      <c r="F468">
        <v>1179313</v>
      </c>
      <c r="G468">
        <v>1820687</v>
      </c>
      <c r="H468" s="5">
        <f>IFERROR((tbl_raw[[#This Row],[Revenue]]-tbl_raw[[#This Row],[COGS]]) / tbl_raw[[#This Row],[Revenue]], 0)</f>
        <v>0.60689566666666672</v>
      </c>
      <c r="I468" s="5" t="str" cm="1">
        <f t="array" ref="I46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68" s="5">
        <f>_xlfn.XLOOKUP(tbl_raw[[#This Row],[Kategori]], tbl_target[Kategori], tbl_target[Target_Margin], 0)</f>
        <v>0.25</v>
      </c>
      <c r="K468" t="s">
        <v>14</v>
      </c>
      <c r="L468" t="s">
        <v>31</v>
      </c>
      <c r="M468">
        <v>3229548</v>
      </c>
    </row>
    <row r="469" spans="1:13" x14ac:dyDescent="0.3">
      <c r="A469" t="s">
        <v>350</v>
      </c>
      <c r="B469" t="s">
        <v>347</v>
      </c>
      <c r="C469" t="s">
        <v>23</v>
      </c>
      <c r="D469" t="s">
        <v>27</v>
      </c>
      <c r="E469">
        <v>6300000</v>
      </c>
      <c r="F469">
        <v>2264899</v>
      </c>
      <c r="G469">
        <v>4035101</v>
      </c>
      <c r="H469" s="5">
        <f>IFERROR((tbl_raw[[#This Row],[Revenue]]-tbl_raw[[#This Row],[COGS]]) / tbl_raw[[#This Row],[Revenue]], 0)</f>
        <v>0.64049222222222224</v>
      </c>
      <c r="I469" s="5" t="str" cm="1">
        <f t="array" ref="I46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69" s="5">
        <f>_xlfn.XLOOKUP(tbl_raw[[#This Row],[Kategori]], tbl_target[Kategori], tbl_target[Target_Margin], 0)</f>
        <v>0.35</v>
      </c>
      <c r="K469" t="s">
        <v>22</v>
      </c>
      <c r="L469" t="s">
        <v>31</v>
      </c>
      <c r="M469">
        <v>6262401</v>
      </c>
    </row>
    <row r="470" spans="1:13" x14ac:dyDescent="0.3">
      <c r="A470" t="s">
        <v>350</v>
      </c>
      <c r="B470" t="s">
        <v>347</v>
      </c>
      <c r="C470" t="s">
        <v>23</v>
      </c>
      <c r="D470" t="s">
        <v>58</v>
      </c>
      <c r="E470">
        <v>1100000</v>
      </c>
      <c r="F470">
        <v>569591</v>
      </c>
      <c r="G470">
        <v>530409</v>
      </c>
      <c r="H470" s="5">
        <f>IFERROR((tbl_raw[[#This Row],[Revenue]]-tbl_raw[[#This Row],[COGS]]) / tbl_raw[[#This Row],[Revenue]], 0)</f>
        <v>0.48219000000000001</v>
      </c>
      <c r="I470" s="5" t="str" cm="1">
        <f t="array" ref="I47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70" s="5">
        <f>_xlfn.XLOOKUP(tbl_raw[[#This Row],[Kategori]], tbl_target[Kategori], tbl_target[Target_Margin], 0)</f>
        <v>0.35</v>
      </c>
      <c r="K470" t="s">
        <v>48</v>
      </c>
      <c r="L470" t="s">
        <v>25</v>
      </c>
      <c r="M470">
        <v>1409754</v>
      </c>
    </row>
    <row r="471" spans="1:13" x14ac:dyDescent="0.3">
      <c r="A471" t="s">
        <v>350</v>
      </c>
      <c r="B471" t="s">
        <v>347</v>
      </c>
      <c r="C471" t="s">
        <v>20</v>
      </c>
      <c r="D471" t="s">
        <v>40</v>
      </c>
      <c r="E471">
        <v>10900000</v>
      </c>
      <c r="F471">
        <v>5575461</v>
      </c>
      <c r="G471">
        <v>5324539</v>
      </c>
      <c r="H471" s="5">
        <f>IFERROR((tbl_raw[[#This Row],[Revenue]]-tbl_raw[[#This Row],[COGS]]) / tbl_raw[[#This Row],[Revenue]], 0)</f>
        <v>0.48848981651376144</v>
      </c>
      <c r="I471" s="5" t="str" cm="1">
        <f t="array" ref="I47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71" s="5">
        <f>_xlfn.XLOOKUP(tbl_raw[[#This Row],[Kategori]], tbl_target[Kategori], tbl_target[Target_Margin], 0)</f>
        <v>0.4</v>
      </c>
      <c r="K471" t="s">
        <v>48</v>
      </c>
      <c r="L471" t="s">
        <v>25</v>
      </c>
      <c r="M471">
        <v>12837094</v>
      </c>
    </row>
    <row r="472" spans="1:13" x14ac:dyDescent="0.3">
      <c r="A472" t="s">
        <v>350</v>
      </c>
      <c r="B472" t="s">
        <v>347</v>
      </c>
      <c r="C472" t="s">
        <v>20</v>
      </c>
      <c r="D472" t="s">
        <v>21</v>
      </c>
      <c r="E472">
        <v>1200000</v>
      </c>
      <c r="F472">
        <v>522054</v>
      </c>
      <c r="G472">
        <v>677946</v>
      </c>
      <c r="H472" s="5">
        <f>IFERROR((tbl_raw[[#This Row],[Revenue]]-tbl_raw[[#This Row],[COGS]]) / tbl_raw[[#This Row],[Revenue]], 0)</f>
        <v>0.56495499999999998</v>
      </c>
      <c r="I472" s="5" t="str" cm="1">
        <f t="array" ref="I47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72" s="5">
        <f>_xlfn.XLOOKUP(tbl_raw[[#This Row],[Kategori]], tbl_target[Kategori], tbl_target[Target_Margin], 0)</f>
        <v>0.4</v>
      </c>
      <c r="K472" t="s">
        <v>36</v>
      </c>
      <c r="L472" t="s">
        <v>31</v>
      </c>
      <c r="M472">
        <v>1193566</v>
      </c>
    </row>
    <row r="473" spans="1:13" x14ac:dyDescent="0.3">
      <c r="A473" t="s">
        <v>351</v>
      </c>
      <c r="B473" t="s">
        <v>347</v>
      </c>
      <c r="C473" t="s">
        <v>23</v>
      </c>
      <c r="D473" t="s">
        <v>27</v>
      </c>
      <c r="E473">
        <v>12400000</v>
      </c>
      <c r="F473">
        <v>7176915</v>
      </c>
      <c r="G473">
        <v>5223085</v>
      </c>
      <c r="H473" s="5">
        <f>IFERROR((tbl_raw[[#This Row],[Revenue]]-tbl_raw[[#This Row],[COGS]]) / tbl_raw[[#This Row],[Revenue]], 0)</f>
        <v>0.42121653225806449</v>
      </c>
      <c r="I473" s="5" t="str" cm="1">
        <f t="array" ref="I47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73" s="5">
        <f>_xlfn.XLOOKUP(tbl_raw[[#This Row],[Kategori]], tbl_target[Kategori], tbl_target[Target_Margin], 0)</f>
        <v>0.35</v>
      </c>
      <c r="K473" t="s">
        <v>36</v>
      </c>
      <c r="L473" t="s">
        <v>31</v>
      </c>
      <c r="M473">
        <v>10946744</v>
      </c>
    </row>
    <row r="474" spans="1:13" x14ac:dyDescent="0.3">
      <c r="A474" t="s">
        <v>351</v>
      </c>
      <c r="B474" t="s">
        <v>347</v>
      </c>
      <c r="C474" t="s">
        <v>23</v>
      </c>
      <c r="D474" t="s">
        <v>58</v>
      </c>
      <c r="E474">
        <v>10400000</v>
      </c>
      <c r="F474">
        <v>4075966</v>
      </c>
      <c r="G474">
        <v>6324034</v>
      </c>
      <c r="H474" s="5">
        <f>IFERROR((tbl_raw[[#This Row],[Revenue]]-tbl_raw[[#This Row],[COGS]]) / tbl_raw[[#This Row],[Revenue]], 0)</f>
        <v>0.60808019230769228</v>
      </c>
      <c r="I474" s="5" t="str" cm="1">
        <f t="array" ref="I47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74" s="5">
        <f>_xlfn.XLOOKUP(tbl_raw[[#This Row],[Kategori]], tbl_target[Kategori], tbl_target[Target_Margin], 0)</f>
        <v>0.35</v>
      </c>
      <c r="K474" t="s">
        <v>36</v>
      </c>
      <c r="L474" t="s">
        <v>25</v>
      </c>
      <c r="M474">
        <v>11312307</v>
      </c>
    </row>
    <row r="475" spans="1:13" x14ac:dyDescent="0.3">
      <c r="A475" t="s">
        <v>352</v>
      </c>
      <c r="B475" t="s">
        <v>347</v>
      </c>
      <c r="C475" t="s">
        <v>23</v>
      </c>
      <c r="D475" t="s">
        <v>58</v>
      </c>
      <c r="E475">
        <v>4400000</v>
      </c>
      <c r="F475">
        <v>2489011</v>
      </c>
      <c r="G475">
        <v>1910989</v>
      </c>
      <c r="H475" s="5">
        <f>IFERROR((tbl_raw[[#This Row],[Revenue]]-tbl_raw[[#This Row],[COGS]]) / tbl_raw[[#This Row],[Revenue]], 0)</f>
        <v>0.43431568181818181</v>
      </c>
      <c r="I475" s="5" t="str" cm="1">
        <f t="array" ref="I47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75" s="5">
        <f>_xlfn.XLOOKUP(tbl_raw[[#This Row],[Kategori]], tbl_target[Kategori], tbl_target[Target_Margin], 0)</f>
        <v>0.35</v>
      </c>
      <c r="K475" t="s">
        <v>18</v>
      </c>
      <c r="L475" t="s">
        <v>15</v>
      </c>
      <c r="M475">
        <v>5592702</v>
      </c>
    </row>
    <row r="476" spans="1:13" x14ac:dyDescent="0.3">
      <c r="A476" t="s">
        <v>353</v>
      </c>
      <c r="B476" t="s">
        <v>347</v>
      </c>
      <c r="C476" t="s">
        <v>23</v>
      </c>
      <c r="D476" t="s">
        <v>27</v>
      </c>
      <c r="E476">
        <v>6800000</v>
      </c>
      <c r="F476">
        <v>3817149</v>
      </c>
      <c r="G476">
        <v>2982851</v>
      </c>
      <c r="H476" s="5">
        <f>IFERROR((tbl_raw[[#This Row],[Revenue]]-tbl_raw[[#This Row],[COGS]]) / tbl_raw[[#This Row],[Revenue]], 0)</f>
        <v>0.43865455882352944</v>
      </c>
      <c r="I476" s="5" t="str" cm="1">
        <f t="array" ref="I47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76" s="5">
        <f>_xlfn.XLOOKUP(tbl_raw[[#This Row],[Kategori]], tbl_target[Kategori], tbl_target[Target_Margin], 0)</f>
        <v>0.35</v>
      </c>
      <c r="K476" t="s">
        <v>36</v>
      </c>
      <c r="L476" t="s">
        <v>15</v>
      </c>
      <c r="M476">
        <v>6191309</v>
      </c>
    </row>
    <row r="477" spans="1:13" x14ac:dyDescent="0.3">
      <c r="A477" t="s">
        <v>354</v>
      </c>
      <c r="B477" t="s">
        <v>347</v>
      </c>
      <c r="C477" t="s">
        <v>12</v>
      </c>
      <c r="D477" t="s">
        <v>32</v>
      </c>
      <c r="E477">
        <v>18700000</v>
      </c>
      <c r="F477">
        <v>8719831</v>
      </c>
      <c r="G477">
        <v>9980169</v>
      </c>
      <c r="H477" s="5">
        <f>IFERROR((tbl_raw[[#This Row],[Revenue]]-tbl_raw[[#This Row],[COGS]]) / tbl_raw[[#This Row],[Revenue]], 0)</f>
        <v>0.53369887700534757</v>
      </c>
      <c r="I477" s="5" t="str" cm="1">
        <f t="array" ref="I47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77" s="5">
        <f>_xlfn.XLOOKUP(tbl_raw[[#This Row],[Kategori]], tbl_target[Kategori], tbl_target[Target_Margin], 0)</f>
        <v>0.25</v>
      </c>
      <c r="K477" t="s">
        <v>36</v>
      </c>
      <c r="L477" t="s">
        <v>15</v>
      </c>
      <c r="M477">
        <v>23210285</v>
      </c>
    </row>
    <row r="478" spans="1:13" x14ac:dyDescent="0.3">
      <c r="A478" t="s">
        <v>355</v>
      </c>
      <c r="B478" t="s">
        <v>347</v>
      </c>
      <c r="C478" t="s">
        <v>12</v>
      </c>
      <c r="D478" t="s">
        <v>13</v>
      </c>
      <c r="E478">
        <v>18100000</v>
      </c>
      <c r="F478">
        <v>8838281</v>
      </c>
      <c r="G478">
        <v>9261719</v>
      </c>
      <c r="H478" s="5">
        <f>IFERROR((tbl_raw[[#This Row],[Revenue]]-tbl_raw[[#This Row],[COGS]]) / tbl_raw[[#This Row],[Revenue]], 0)</f>
        <v>0.51169718232044203</v>
      </c>
      <c r="I478" s="5" t="str" cm="1">
        <f t="array" ref="I47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78" s="5">
        <f>_xlfn.XLOOKUP(tbl_raw[[#This Row],[Kategori]], tbl_target[Kategori], tbl_target[Target_Margin], 0)</f>
        <v>0.25</v>
      </c>
      <c r="K478" t="s">
        <v>36</v>
      </c>
      <c r="L478" t="s">
        <v>19</v>
      </c>
      <c r="M478">
        <v>16508382</v>
      </c>
    </row>
    <row r="479" spans="1:13" x14ac:dyDescent="0.3">
      <c r="A479" t="s">
        <v>356</v>
      </c>
      <c r="B479" t="s">
        <v>347</v>
      </c>
      <c r="C479" t="s">
        <v>12</v>
      </c>
      <c r="D479" t="s">
        <v>32</v>
      </c>
      <c r="E479">
        <v>11600000</v>
      </c>
      <c r="F479">
        <v>4201906</v>
      </c>
      <c r="G479">
        <v>7398094</v>
      </c>
      <c r="H479" s="5">
        <f>IFERROR((tbl_raw[[#This Row],[Revenue]]-tbl_raw[[#This Row],[COGS]]) / tbl_raw[[#This Row],[Revenue]], 0)</f>
        <v>0.63776672413793101</v>
      </c>
      <c r="I479" s="5" t="str" cm="1">
        <f t="array" ref="I47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79" s="5">
        <f>_xlfn.XLOOKUP(tbl_raw[[#This Row],[Kategori]], tbl_target[Kategori], tbl_target[Target_Margin], 0)</f>
        <v>0.25</v>
      </c>
      <c r="K479" t="s">
        <v>36</v>
      </c>
      <c r="L479" t="s">
        <v>15</v>
      </c>
      <c r="M479">
        <v>9297732</v>
      </c>
    </row>
    <row r="480" spans="1:13" x14ac:dyDescent="0.3">
      <c r="A480" t="s">
        <v>357</v>
      </c>
      <c r="B480" t="s">
        <v>347</v>
      </c>
      <c r="C480" t="s">
        <v>23</v>
      </c>
      <c r="D480" t="s">
        <v>58</v>
      </c>
      <c r="E480">
        <v>1500000</v>
      </c>
      <c r="F480">
        <v>659370</v>
      </c>
      <c r="G480">
        <v>840630</v>
      </c>
      <c r="H480" s="5">
        <f>IFERROR((tbl_raw[[#This Row],[Revenue]]-tbl_raw[[#This Row],[COGS]]) / tbl_raw[[#This Row],[Revenue]], 0)</f>
        <v>0.56042000000000003</v>
      </c>
      <c r="I480" s="5" t="str" cm="1">
        <f t="array" ref="I48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80" s="5">
        <f>_xlfn.XLOOKUP(tbl_raw[[#This Row],[Kategori]], tbl_target[Kategori], tbl_target[Target_Margin], 0)</f>
        <v>0.35</v>
      </c>
      <c r="K480" t="s">
        <v>36</v>
      </c>
      <c r="L480" t="s">
        <v>31</v>
      </c>
      <c r="M480">
        <v>1887457</v>
      </c>
    </row>
    <row r="481" spans="1:13" x14ac:dyDescent="0.3">
      <c r="A481" t="s">
        <v>357</v>
      </c>
      <c r="B481" t="s">
        <v>347</v>
      </c>
      <c r="C481" t="s">
        <v>23</v>
      </c>
      <c r="D481" t="s">
        <v>58</v>
      </c>
      <c r="E481">
        <v>15600000</v>
      </c>
      <c r="F481">
        <v>6596570</v>
      </c>
      <c r="G481">
        <v>9003430</v>
      </c>
      <c r="H481" s="5">
        <f>IFERROR((tbl_raw[[#This Row],[Revenue]]-tbl_raw[[#This Row],[COGS]]) / tbl_raw[[#This Row],[Revenue]], 0)</f>
        <v>0.57714294871794869</v>
      </c>
      <c r="I481" s="5" t="str" cm="1">
        <f t="array" ref="I48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81" s="5">
        <f>_xlfn.XLOOKUP(tbl_raw[[#This Row],[Kategori]], tbl_target[Kategori], tbl_target[Target_Margin], 0)</f>
        <v>0.35</v>
      </c>
      <c r="K481" t="s">
        <v>22</v>
      </c>
      <c r="L481" t="s">
        <v>28</v>
      </c>
      <c r="M481">
        <v>19007428</v>
      </c>
    </row>
    <row r="482" spans="1:13" x14ac:dyDescent="0.3">
      <c r="A482" t="s">
        <v>357</v>
      </c>
      <c r="B482" t="s">
        <v>347</v>
      </c>
      <c r="C482" t="s">
        <v>20</v>
      </c>
      <c r="D482" t="s">
        <v>21</v>
      </c>
      <c r="E482">
        <v>4000000</v>
      </c>
      <c r="F482">
        <v>1979578</v>
      </c>
      <c r="G482">
        <v>2020422</v>
      </c>
      <c r="H482" s="5">
        <f>IFERROR((tbl_raw[[#This Row],[Revenue]]-tbl_raw[[#This Row],[COGS]]) / tbl_raw[[#This Row],[Revenue]], 0)</f>
        <v>0.50510549999999999</v>
      </c>
      <c r="I482" s="5" t="str" cm="1">
        <f t="array" ref="I48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82" s="5">
        <f>_xlfn.XLOOKUP(tbl_raw[[#This Row],[Kategori]], tbl_target[Kategori], tbl_target[Target_Margin], 0)</f>
        <v>0.4</v>
      </c>
      <c r="K482" t="s">
        <v>14</v>
      </c>
      <c r="L482" t="s">
        <v>25</v>
      </c>
      <c r="M482">
        <v>4316624</v>
      </c>
    </row>
    <row r="483" spans="1:13" x14ac:dyDescent="0.3">
      <c r="A483" t="s">
        <v>358</v>
      </c>
      <c r="B483" t="s">
        <v>347</v>
      </c>
      <c r="C483" t="s">
        <v>12</v>
      </c>
      <c r="D483" t="s">
        <v>13</v>
      </c>
      <c r="E483">
        <v>15700000</v>
      </c>
      <c r="F483">
        <v>6614969</v>
      </c>
      <c r="G483">
        <v>9085031</v>
      </c>
      <c r="H483" s="5">
        <f>IFERROR((tbl_raw[[#This Row],[Revenue]]-tbl_raw[[#This Row],[COGS]]) / tbl_raw[[#This Row],[Revenue]], 0)</f>
        <v>0.57866439490445865</v>
      </c>
      <c r="I483" s="5" t="str" cm="1">
        <f t="array" ref="I48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83" s="5">
        <f>_xlfn.XLOOKUP(tbl_raw[[#This Row],[Kategori]], tbl_target[Kategori], tbl_target[Target_Margin], 0)</f>
        <v>0.25</v>
      </c>
      <c r="K483" t="s">
        <v>48</v>
      </c>
      <c r="L483" t="s">
        <v>31</v>
      </c>
      <c r="M483">
        <v>20306232</v>
      </c>
    </row>
    <row r="484" spans="1:13" x14ac:dyDescent="0.3">
      <c r="A484" t="s">
        <v>358</v>
      </c>
      <c r="B484" t="s">
        <v>347</v>
      </c>
      <c r="C484" t="s">
        <v>20</v>
      </c>
      <c r="D484" t="s">
        <v>40</v>
      </c>
      <c r="E484">
        <v>16000000</v>
      </c>
      <c r="F484">
        <v>7351724</v>
      </c>
      <c r="G484">
        <v>8648276</v>
      </c>
      <c r="H484" s="5">
        <f>IFERROR((tbl_raw[[#This Row],[Revenue]]-tbl_raw[[#This Row],[COGS]]) / tbl_raw[[#This Row],[Revenue]], 0)</f>
        <v>0.54051724999999995</v>
      </c>
      <c r="I484" s="5" t="str" cm="1">
        <f t="array" ref="I48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84" s="5">
        <f>_xlfn.XLOOKUP(tbl_raw[[#This Row],[Kategori]], tbl_target[Kategori], tbl_target[Target_Margin], 0)</f>
        <v>0.4</v>
      </c>
      <c r="K484" t="s">
        <v>48</v>
      </c>
      <c r="L484" t="s">
        <v>25</v>
      </c>
      <c r="M484">
        <v>18863027</v>
      </c>
    </row>
    <row r="485" spans="1:13" x14ac:dyDescent="0.3">
      <c r="A485" t="s">
        <v>359</v>
      </c>
      <c r="B485" t="s">
        <v>347</v>
      </c>
      <c r="C485" t="s">
        <v>20</v>
      </c>
      <c r="D485" t="s">
        <v>30</v>
      </c>
      <c r="E485">
        <v>16900000</v>
      </c>
      <c r="F485">
        <v>8163294</v>
      </c>
      <c r="G485">
        <v>8736706</v>
      </c>
      <c r="H485" s="5">
        <f>IFERROR((tbl_raw[[#This Row],[Revenue]]-tbl_raw[[#This Row],[COGS]]) / tbl_raw[[#This Row],[Revenue]], 0)</f>
        <v>0.51696485207100595</v>
      </c>
      <c r="I485" s="5" t="str" cm="1">
        <f t="array" ref="I48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85" s="5">
        <f>_xlfn.XLOOKUP(tbl_raw[[#This Row],[Kategori]], tbl_target[Kategori], tbl_target[Target_Margin], 0)</f>
        <v>0.4</v>
      </c>
      <c r="K485" t="s">
        <v>22</v>
      </c>
      <c r="L485" t="s">
        <v>34</v>
      </c>
      <c r="M485">
        <v>19279205</v>
      </c>
    </row>
    <row r="486" spans="1:13" x14ac:dyDescent="0.3">
      <c r="A486" t="s">
        <v>360</v>
      </c>
      <c r="B486" t="s">
        <v>347</v>
      </c>
      <c r="C486" t="s">
        <v>23</v>
      </c>
      <c r="D486" t="s">
        <v>24</v>
      </c>
      <c r="E486">
        <v>6100000</v>
      </c>
      <c r="F486">
        <v>2509161</v>
      </c>
      <c r="G486">
        <v>3590839</v>
      </c>
      <c r="H486" s="5">
        <f>IFERROR((tbl_raw[[#This Row],[Revenue]]-tbl_raw[[#This Row],[COGS]]) / tbl_raw[[#This Row],[Revenue]], 0)</f>
        <v>0.58866213114754096</v>
      </c>
      <c r="I486" s="5" t="str" cm="1">
        <f t="array" ref="I48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86" s="5">
        <f>_xlfn.XLOOKUP(tbl_raw[[#This Row],[Kategori]], tbl_target[Kategori], tbl_target[Target_Margin], 0)</f>
        <v>0.35</v>
      </c>
      <c r="K486" t="s">
        <v>48</v>
      </c>
      <c r="L486" t="s">
        <v>15</v>
      </c>
      <c r="M486">
        <v>5568789</v>
      </c>
    </row>
    <row r="487" spans="1:13" x14ac:dyDescent="0.3">
      <c r="A487" t="s">
        <v>360</v>
      </c>
      <c r="B487" t="s">
        <v>347</v>
      </c>
      <c r="C487" t="s">
        <v>20</v>
      </c>
      <c r="D487" t="s">
        <v>40</v>
      </c>
      <c r="E487">
        <v>13100000</v>
      </c>
      <c r="F487">
        <v>5844153</v>
      </c>
      <c r="G487">
        <v>7255847</v>
      </c>
      <c r="H487" s="5">
        <f>IFERROR((tbl_raw[[#This Row],[Revenue]]-tbl_raw[[#This Row],[COGS]]) / tbl_raw[[#This Row],[Revenue]], 0)</f>
        <v>0.55388145038167935</v>
      </c>
      <c r="I487" s="5" t="str" cm="1">
        <f t="array" ref="I48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87" s="5">
        <f>_xlfn.XLOOKUP(tbl_raw[[#This Row],[Kategori]], tbl_target[Kategori], tbl_target[Target_Margin], 0)</f>
        <v>0.4</v>
      </c>
      <c r="K487" t="s">
        <v>14</v>
      </c>
      <c r="L487" t="s">
        <v>34</v>
      </c>
      <c r="M487">
        <v>11461956</v>
      </c>
    </row>
    <row r="488" spans="1:13" x14ac:dyDescent="0.3">
      <c r="A488" t="s">
        <v>361</v>
      </c>
      <c r="B488" t="s">
        <v>347</v>
      </c>
      <c r="C488" t="s">
        <v>23</v>
      </c>
      <c r="D488" t="s">
        <v>27</v>
      </c>
      <c r="E488">
        <v>18200000</v>
      </c>
      <c r="F488">
        <v>10693003</v>
      </c>
      <c r="G488">
        <v>7506997</v>
      </c>
      <c r="H488" s="5">
        <f>IFERROR((tbl_raw[[#This Row],[Revenue]]-tbl_raw[[#This Row],[COGS]]) / tbl_raw[[#This Row],[Revenue]], 0)</f>
        <v>0.41247236263736264</v>
      </c>
      <c r="I488" s="5" t="str" cm="1">
        <f t="array" ref="I48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88" s="5">
        <f>_xlfn.XLOOKUP(tbl_raw[[#This Row],[Kategori]], tbl_target[Kategori], tbl_target[Target_Margin], 0)</f>
        <v>0.35</v>
      </c>
      <c r="K488" t="s">
        <v>36</v>
      </c>
      <c r="L488" t="s">
        <v>28</v>
      </c>
      <c r="M488">
        <v>16760683</v>
      </c>
    </row>
    <row r="489" spans="1:13" x14ac:dyDescent="0.3">
      <c r="A489" t="s">
        <v>362</v>
      </c>
      <c r="B489" t="s">
        <v>347</v>
      </c>
      <c r="C489" t="s">
        <v>20</v>
      </c>
      <c r="D489" t="s">
        <v>30</v>
      </c>
      <c r="E489">
        <v>18100000</v>
      </c>
      <c r="F489">
        <v>7618729</v>
      </c>
      <c r="G489">
        <v>10481271</v>
      </c>
      <c r="H489" s="5">
        <f>IFERROR((tbl_raw[[#This Row],[Revenue]]-tbl_raw[[#This Row],[COGS]]) / tbl_raw[[#This Row],[Revenue]], 0)</f>
        <v>0.57907574585635357</v>
      </c>
      <c r="I489" s="5" t="str" cm="1">
        <f t="array" ref="I48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89" s="5">
        <f>_xlfn.XLOOKUP(tbl_raw[[#This Row],[Kategori]], tbl_target[Kategori], tbl_target[Target_Margin], 0)</f>
        <v>0.4</v>
      </c>
      <c r="K489" t="s">
        <v>18</v>
      </c>
      <c r="L489" t="s">
        <v>15</v>
      </c>
      <c r="M489">
        <v>18040210</v>
      </c>
    </row>
    <row r="490" spans="1:13" x14ac:dyDescent="0.3">
      <c r="A490" t="s">
        <v>363</v>
      </c>
      <c r="B490" t="s">
        <v>347</v>
      </c>
      <c r="C490" t="s">
        <v>12</v>
      </c>
      <c r="D490" t="s">
        <v>13</v>
      </c>
      <c r="E490">
        <v>8100000</v>
      </c>
      <c r="F490">
        <v>3658913</v>
      </c>
      <c r="G490">
        <v>4441087</v>
      </c>
      <c r="H490" s="5">
        <f>IFERROR((tbl_raw[[#This Row],[Revenue]]-tbl_raw[[#This Row],[COGS]]) / tbl_raw[[#This Row],[Revenue]], 0)</f>
        <v>0.54828234567901235</v>
      </c>
      <c r="I490" s="5" t="str" cm="1">
        <f t="array" ref="I49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90" s="5">
        <f>_xlfn.XLOOKUP(tbl_raw[[#This Row],[Kategori]], tbl_target[Kategori], tbl_target[Target_Margin], 0)</f>
        <v>0.25</v>
      </c>
      <c r="K490" t="s">
        <v>18</v>
      </c>
      <c r="L490" t="s">
        <v>19</v>
      </c>
      <c r="M490">
        <v>6585898</v>
      </c>
    </row>
    <row r="491" spans="1:13" x14ac:dyDescent="0.3">
      <c r="A491" t="s">
        <v>364</v>
      </c>
      <c r="B491" t="s">
        <v>347</v>
      </c>
      <c r="C491" t="s">
        <v>12</v>
      </c>
      <c r="D491" t="s">
        <v>17</v>
      </c>
      <c r="E491">
        <v>1400000</v>
      </c>
      <c r="F491">
        <v>562412</v>
      </c>
      <c r="G491">
        <v>837588</v>
      </c>
      <c r="H491" s="5">
        <f>IFERROR((tbl_raw[[#This Row],[Revenue]]-tbl_raw[[#This Row],[COGS]]) / tbl_raw[[#This Row],[Revenue]], 0)</f>
        <v>0.59827714285714284</v>
      </c>
      <c r="I491" s="5" t="str" cm="1">
        <f t="array" ref="I49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91" s="5">
        <f>_xlfn.XLOOKUP(tbl_raw[[#This Row],[Kategori]], tbl_target[Kategori], tbl_target[Target_Margin], 0)</f>
        <v>0.25</v>
      </c>
      <c r="K491" t="s">
        <v>18</v>
      </c>
      <c r="L491" t="s">
        <v>28</v>
      </c>
      <c r="M491">
        <v>1539858</v>
      </c>
    </row>
    <row r="492" spans="1:13" x14ac:dyDescent="0.3">
      <c r="A492" t="s">
        <v>365</v>
      </c>
      <c r="B492" t="s">
        <v>366</v>
      </c>
      <c r="C492" t="s">
        <v>23</v>
      </c>
      <c r="D492" t="s">
        <v>58</v>
      </c>
      <c r="E492">
        <v>13500000</v>
      </c>
      <c r="F492">
        <v>5382713</v>
      </c>
      <c r="G492">
        <v>8117287</v>
      </c>
      <c r="H492" s="5">
        <f>IFERROR((tbl_raw[[#This Row],[Revenue]]-tbl_raw[[#This Row],[COGS]]) / tbl_raw[[#This Row],[Revenue]], 0)</f>
        <v>0.60128051851851849</v>
      </c>
      <c r="I492" s="5" t="str" cm="1">
        <f t="array" ref="I49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92" s="5">
        <f>_xlfn.XLOOKUP(tbl_raw[[#This Row],[Kategori]], tbl_target[Kategori], tbl_target[Target_Margin], 0)</f>
        <v>0.35</v>
      </c>
      <c r="K492" t="s">
        <v>48</v>
      </c>
      <c r="L492" t="s">
        <v>49</v>
      </c>
      <c r="M492">
        <v>16470086</v>
      </c>
    </row>
    <row r="493" spans="1:13" x14ac:dyDescent="0.3">
      <c r="A493" t="s">
        <v>365</v>
      </c>
      <c r="B493" t="s">
        <v>366</v>
      </c>
      <c r="C493" t="s">
        <v>23</v>
      </c>
      <c r="D493" t="s">
        <v>24</v>
      </c>
      <c r="E493">
        <v>18600000</v>
      </c>
      <c r="F493">
        <v>8329169</v>
      </c>
      <c r="G493">
        <v>10270831</v>
      </c>
      <c r="H493" s="5">
        <f>IFERROR((tbl_raw[[#This Row],[Revenue]]-tbl_raw[[#This Row],[COGS]]) / tbl_raw[[#This Row],[Revenue]], 0)</f>
        <v>0.55219521505376346</v>
      </c>
      <c r="I493" s="5" t="str" cm="1">
        <f t="array" ref="I49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93" s="5">
        <f>_xlfn.XLOOKUP(tbl_raw[[#This Row],[Kategori]], tbl_target[Kategori], tbl_target[Target_Margin], 0)</f>
        <v>0.35</v>
      </c>
      <c r="K493" t="s">
        <v>36</v>
      </c>
      <c r="L493" t="s">
        <v>28</v>
      </c>
      <c r="M493">
        <v>18281979</v>
      </c>
    </row>
    <row r="494" spans="1:13" x14ac:dyDescent="0.3">
      <c r="A494" t="s">
        <v>367</v>
      </c>
      <c r="B494" t="s">
        <v>366</v>
      </c>
      <c r="C494" t="s">
        <v>12</v>
      </c>
      <c r="D494" t="s">
        <v>13</v>
      </c>
      <c r="E494">
        <v>4400000</v>
      </c>
      <c r="F494">
        <v>2460749</v>
      </c>
      <c r="G494">
        <v>1939251</v>
      </c>
      <c r="H494" s="5">
        <f>IFERROR((tbl_raw[[#This Row],[Revenue]]-tbl_raw[[#This Row],[COGS]]) / tbl_raw[[#This Row],[Revenue]], 0)</f>
        <v>0.44073886363636361</v>
      </c>
      <c r="I494" s="5" t="str" cm="1">
        <f t="array" ref="I49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94" s="5">
        <f>_xlfn.XLOOKUP(tbl_raw[[#This Row],[Kategori]], tbl_target[Kategori], tbl_target[Target_Margin], 0)</f>
        <v>0.25</v>
      </c>
      <c r="K494" t="s">
        <v>14</v>
      </c>
      <c r="L494" t="s">
        <v>25</v>
      </c>
      <c r="M494">
        <v>3804872</v>
      </c>
    </row>
    <row r="495" spans="1:13" x14ac:dyDescent="0.3">
      <c r="A495" t="s">
        <v>368</v>
      </c>
      <c r="B495" t="s">
        <v>366</v>
      </c>
      <c r="C495" t="s">
        <v>12</v>
      </c>
      <c r="D495" t="s">
        <v>13</v>
      </c>
      <c r="E495">
        <v>3800000</v>
      </c>
      <c r="F495">
        <v>1613230</v>
      </c>
      <c r="G495">
        <v>2186770</v>
      </c>
      <c r="H495" s="5">
        <f>IFERROR((tbl_raw[[#This Row],[Revenue]]-tbl_raw[[#This Row],[COGS]]) / tbl_raw[[#This Row],[Revenue]], 0)</f>
        <v>0.57546578947368421</v>
      </c>
      <c r="I495" s="5" t="str" cm="1">
        <f t="array" ref="I49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95" s="5">
        <f>_xlfn.XLOOKUP(tbl_raw[[#This Row],[Kategori]], tbl_target[Kategori], tbl_target[Target_Margin], 0)</f>
        <v>0.25</v>
      </c>
      <c r="K495" t="s">
        <v>14</v>
      </c>
      <c r="L495" t="s">
        <v>31</v>
      </c>
      <c r="M495">
        <v>4190635</v>
      </c>
    </row>
    <row r="496" spans="1:13" x14ac:dyDescent="0.3">
      <c r="A496" t="s">
        <v>369</v>
      </c>
      <c r="B496" t="s">
        <v>366</v>
      </c>
      <c r="C496" t="s">
        <v>12</v>
      </c>
      <c r="D496" t="s">
        <v>13</v>
      </c>
      <c r="E496">
        <v>18300000</v>
      </c>
      <c r="F496">
        <v>6609597</v>
      </c>
      <c r="G496">
        <v>11690403</v>
      </c>
      <c r="H496" s="5">
        <f>IFERROR((tbl_raw[[#This Row],[Revenue]]-tbl_raw[[#This Row],[COGS]]) / tbl_raw[[#This Row],[Revenue]], 0)</f>
        <v>0.6388198360655738</v>
      </c>
      <c r="I496" s="5" t="str" cm="1">
        <f t="array" ref="I49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96" s="5">
        <f>_xlfn.XLOOKUP(tbl_raw[[#This Row],[Kategori]], tbl_target[Kategori], tbl_target[Target_Margin], 0)</f>
        <v>0.25</v>
      </c>
      <c r="K496" t="s">
        <v>36</v>
      </c>
      <c r="L496" t="s">
        <v>15</v>
      </c>
      <c r="M496">
        <v>16602612</v>
      </c>
    </row>
    <row r="497" spans="1:13" x14ac:dyDescent="0.3">
      <c r="A497" t="s">
        <v>370</v>
      </c>
      <c r="B497" t="s">
        <v>366</v>
      </c>
      <c r="C497" t="s">
        <v>23</v>
      </c>
      <c r="D497" t="s">
        <v>27</v>
      </c>
      <c r="E497">
        <v>3700000</v>
      </c>
      <c r="F497">
        <v>2040759</v>
      </c>
      <c r="G497">
        <v>1659241</v>
      </c>
      <c r="H497" s="5">
        <f>IFERROR((tbl_raw[[#This Row],[Revenue]]-tbl_raw[[#This Row],[COGS]]) / tbl_raw[[#This Row],[Revenue]], 0)</f>
        <v>0.44844351351351353</v>
      </c>
      <c r="I497" s="5" t="str" cm="1">
        <f t="array" ref="I49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97" s="5">
        <f>_xlfn.XLOOKUP(tbl_raw[[#This Row],[Kategori]], tbl_target[Kategori], tbl_target[Target_Margin], 0)</f>
        <v>0.35</v>
      </c>
      <c r="K497" t="s">
        <v>22</v>
      </c>
      <c r="L497" t="s">
        <v>15</v>
      </c>
      <c r="M497">
        <v>3158041</v>
      </c>
    </row>
    <row r="498" spans="1:13" x14ac:dyDescent="0.3">
      <c r="A498" t="s">
        <v>370</v>
      </c>
      <c r="B498" t="s">
        <v>366</v>
      </c>
      <c r="C498" t="s">
        <v>23</v>
      </c>
      <c r="D498" t="s">
        <v>58</v>
      </c>
      <c r="E498">
        <v>5900000</v>
      </c>
      <c r="F498">
        <v>2289577</v>
      </c>
      <c r="G498">
        <v>3610423</v>
      </c>
      <c r="H498" s="5">
        <f>IFERROR((tbl_raw[[#This Row],[Revenue]]-tbl_raw[[#This Row],[COGS]]) / tbl_raw[[#This Row],[Revenue]], 0)</f>
        <v>0.6119361016949153</v>
      </c>
      <c r="I498" s="5" t="str" cm="1">
        <f t="array" ref="I49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98" s="5">
        <f>_xlfn.XLOOKUP(tbl_raw[[#This Row],[Kategori]], tbl_target[Kategori], tbl_target[Target_Margin], 0)</f>
        <v>0.35</v>
      </c>
      <c r="K498" t="s">
        <v>14</v>
      </c>
      <c r="L498" t="s">
        <v>28</v>
      </c>
      <c r="M498">
        <v>4741682</v>
      </c>
    </row>
    <row r="499" spans="1:13" x14ac:dyDescent="0.3">
      <c r="A499" t="s">
        <v>371</v>
      </c>
      <c r="B499" t="s">
        <v>366</v>
      </c>
      <c r="C499" t="s">
        <v>20</v>
      </c>
      <c r="D499" t="s">
        <v>21</v>
      </c>
      <c r="E499">
        <v>5500000</v>
      </c>
      <c r="F499">
        <v>2290339</v>
      </c>
      <c r="G499">
        <v>3209661</v>
      </c>
      <c r="H499" s="5">
        <f>IFERROR((tbl_raw[[#This Row],[Revenue]]-tbl_raw[[#This Row],[COGS]]) / tbl_raw[[#This Row],[Revenue]], 0)</f>
        <v>0.5835747272727273</v>
      </c>
      <c r="I499" s="5" t="str" cm="1">
        <f t="array" ref="I49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499" s="5">
        <f>_xlfn.XLOOKUP(tbl_raw[[#This Row],[Kategori]], tbl_target[Kategori], tbl_target[Target_Margin], 0)</f>
        <v>0.4</v>
      </c>
      <c r="K499" t="s">
        <v>36</v>
      </c>
      <c r="L499" t="s">
        <v>31</v>
      </c>
      <c r="M499">
        <v>7099338</v>
      </c>
    </row>
    <row r="500" spans="1:13" x14ac:dyDescent="0.3">
      <c r="A500" t="s">
        <v>371</v>
      </c>
      <c r="B500" t="s">
        <v>366</v>
      </c>
      <c r="C500" t="s">
        <v>23</v>
      </c>
      <c r="D500" t="s">
        <v>58</v>
      </c>
      <c r="E500">
        <v>17600000</v>
      </c>
      <c r="F500">
        <v>8863210</v>
      </c>
      <c r="G500">
        <v>8736790</v>
      </c>
      <c r="H500" s="5">
        <f>IFERROR((tbl_raw[[#This Row],[Revenue]]-tbl_raw[[#This Row],[COGS]]) / tbl_raw[[#This Row],[Revenue]], 0)</f>
        <v>0.49640852272727271</v>
      </c>
      <c r="I500" s="5" t="str" cm="1">
        <f t="array" ref="I50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00" s="5">
        <f>_xlfn.XLOOKUP(tbl_raw[[#This Row],[Kategori]], tbl_target[Kategori], tbl_target[Target_Margin], 0)</f>
        <v>0.35</v>
      </c>
      <c r="K500" t="s">
        <v>18</v>
      </c>
      <c r="L500" t="s">
        <v>31</v>
      </c>
      <c r="M500">
        <v>20992373</v>
      </c>
    </row>
    <row r="501" spans="1:13" x14ac:dyDescent="0.3">
      <c r="A501" t="s">
        <v>371</v>
      </c>
      <c r="B501" t="s">
        <v>366</v>
      </c>
      <c r="C501" t="s">
        <v>12</v>
      </c>
      <c r="D501" t="s">
        <v>13</v>
      </c>
      <c r="E501">
        <v>15600000</v>
      </c>
      <c r="F501">
        <v>6514622</v>
      </c>
      <c r="G501">
        <v>9085378</v>
      </c>
      <c r="H501" s="5">
        <f>IFERROR((tbl_raw[[#This Row],[Revenue]]-tbl_raw[[#This Row],[COGS]]) / tbl_raw[[#This Row],[Revenue]], 0)</f>
        <v>0.58239602564102566</v>
      </c>
      <c r="I501" s="5" t="str" cm="1">
        <f t="array" ref="I50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01" s="5">
        <f>_xlfn.XLOOKUP(tbl_raw[[#This Row],[Kategori]], tbl_target[Kategori], tbl_target[Target_Margin], 0)</f>
        <v>0.25</v>
      </c>
      <c r="K501" t="s">
        <v>36</v>
      </c>
      <c r="L501" t="s">
        <v>15</v>
      </c>
      <c r="M501">
        <v>13769725</v>
      </c>
    </row>
    <row r="502" spans="1:13" x14ac:dyDescent="0.3">
      <c r="A502" t="s">
        <v>372</v>
      </c>
      <c r="B502" t="s">
        <v>366</v>
      </c>
      <c r="C502" t="s">
        <v>12</v>
      </c>
      <c r="D502" t="s">
        <v>17</v>
      </c>
      <c r="E502">
        <v>4700000</v>
      </c>
      <c r="F502">
        <v>1868418</v>
      </c>
      <c r="G502">
        <v>2831582</v>
      </c>
      <c r="H502" s="5">
        <f>IFERROR((tbl_raw[[#This Row],[Revenue]]-tbl_raw[[#This Row],[COGS]]) / tbl_raw[[#This Row],[Revenue]], 0)</f>
        <v>0.60246425531914893</v>
      </c>
      <c r="I502" s="5" t="str" cm="1">
        <f t="array" ref="I50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02" s="5">
        <f>_xlfn.XLOOKUP(tbl_raw[[#This Row],[Kategori]], tbl_target[Kategori], tbl_target[Target_Margin], 0)</f>
        <v>0.25</v>
      </c>
      <c r="K502" t="s">
        <v>14</v>
      </c>
      <c r="L502" t="s">
        <v>31</v>
      </c>
      <c r="M502">
        <v>5258099</v>
      </c>
    </row>
    <row r="503" spans="1:13" x14ac:dyDescent="0.3">
      <c r="A503" t="s">
        <v>373</v>
      </c>
      <c r="B503" t="s">
        <v>366</v>
      </c>
      <c r="C503" t="s">
        <v>23</v>
      </c>
      <c r="D503" t="s">
        <v>24</v>
      </c>
      <c r="E503">
        <v>13400000</v>
      </c>
      <c r="F503">
        <v>7687707</v>
      </c>
      <c r="G503">
        <v>5712293</v>
      </c>
      <c r="H503" s="5">
        <f>IFERROR((tbl_raw[[#This Row],[Revenue]]-tbl_raw[[#This Row],[COGS]]) / tbl_raw[[#This Row],[Revenue]], 0)</f>
        <v>0.4262905223880597</v>
      </c>
      <c r="I503" s="5" t="str" cm="1">
        <f t="array" ref="I50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03" s="5">
        <f>_xlfn.XLOOKUP(tbl_raw[[#This Row],[Kategori]], tbl_target[Kategori], tbl_target[Target_Margin], 0)</f>
        <v>0.35</v>
      </c>
      <c r="K503" t="s">
        <v>48</v>
      </c>
      <c r="L503" t="s">
        <v>49</v>
      </c>
      <c r="M503">
        <v>13358498</v>
      </c>
    </row>
    <row r="504" spans="1:13" x14ac:dyDescent="0.3">
      <c r="A504" t="s">
        <v>374</v>
      </c>
      <c r="B504" t="s">
        <v>366</v>
      </c>
      <c r="C504" t="s">
        <v>23</v>
      </c>
      <c r="D504" t="s">
        <v>24</v>
      </c>
      <c r="E504">
        <v>14500000</v>
      </c>
      <c r="F504">
        <v>7716408</v>
      </c>
      <c r="G504">
        <v>6783592</v>
      </c>
      <c r="H504" s="5">
        <f>IFERROR((tbl_raw[[#This Row],[Revenue]]-tbl_raw[[#This Row],[COGS]]) / tbl_raw[[#This Row],[Revenue]], 0)</f>
        <v>0.46783393103448279</v>
      </c>
      <c r="I504" s="5" t="str" cm="1">
        <f t="array" ref="I50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04" s="5">
        <f>_xlfn.XLOOKUP(tbl_raw[[#This Row],[Kategori]], tbl_target[Kategori], tbl_target[Target_Margin], 0)</f>
        <v>0.35</v>
      </c>
      <c r="K504" t="s">
        <v>22</v>
      </c>
      <c r="L504" t="s">
        <v>15</v>
      </c>
      <c r="M504">
        <v>15706041</v>
      </c>
    </row>
    <row r="505" spans="1:13" x14ac:dyDescent="0.3">
      <c r="A505" t="s">
        <v>375</v>
      </c>
      <c r="B505" t="s">
        <v>366</v>
      </c>
      <c r="C505" t="s">
        <v>20</v>
      </c>
      <c r="D505" t="s">
        <v>21</v>
      </c>
      <c r="E505">
        <v>8800000</v>
      </c>
      <c r="F505">
        <v>3899254</v>
      </c>
      <c r="G505">
        <v>4900746</v>
      </c>
      <c r="H505" s="5">
        <f>IFERROR((tbl_raw[[#This Row],[Revenue]]-tbl_raw[[#This Row],[COGS]]) / tbl_raw[[#This Row],[Revenue]], 0)</f>
        <v>0.55690295454545458</v>
      </c>
      <c r="I505" s="5" t="str" cm="1">
        <f t="array" ref="I50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05" s="5">
        <f>_xlfn.XLOOKUP(tbl_raw[[#This Row],[Kategori]], tbl_target[Kategori], tbl_target[Target_Margin], 0)</f>
        <v>0.4</v>
      </c>
      <c r="K505" t="s">
        <v>36</v>
      </c>
      <c r="L505" t="s">
        <v>49</v>
      </c>
      <c r="M505">
        <v>7285569</v>
      </c>
    </row>
    <row r="506" spans="1:13" x14ac:dyDescent="0.3">
      <c r="A506" t="s">
        <v>376</v>
      </c>
      <c r="B506" t="s">
        <v>366</v>
      </c>
      <c r="C506" t="s">
        <v>12</v>
      </c>
      <c r="D506" t="s">
        <v>13</v>
      </c>
      <c r="E506">
        <v>4300000</v>
      </c>
      <c r="F506">
        <v>1940572</v>
      </c>
      <c r="G506">
        <v>2359428</v>
      </c>
      <c r="H506" s="5">
        <f>IFERROR((tbl_raw[[#This Row],[Revenue]]-tbl_raw[[#This Row],[COGS]]) / tbl_raw[[#This Row],[Revenue]], 0)</f>
        <v>0.54870418604651161</v>
      </c>
      <c r="I506" s="5" t="str" cm="1">
        <f t="array" ref="I50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06" s="5">
        <f>_xlfn.XLOOKUP(tbl_raw[[#This Row],[Kategori]], tbl_target[Kategori], tbl_target[Target_Margin], 0)</f>
        <v>0.25</v>
      </c>
      <c r="K506" t="s">
        <v>48</v>
      </c>
      <c r="L506" t="s">
        <v>34</v>
      </c>
      <c r="M506">
        <v>4650453</v>
      </c>
    </row>
    <row r="507" spans="1:13" x14ac:dyDescent="0.3">
      <c r="A507" t="s">
        <v>377</v>
      </c>
      <c r="B507" t="s">
        <v>366</v>
      </c>
      <c r="C507" t="s">
        <v>23</v>
      </c>
      <c r="D507" t="s">
        <v>24</v>
      </c>
      <c r="E507">
        <v>17600000</v>
      </c>
      <c r="F507">
        <v>7771473</v>
      </c>
      <c r="G507">
        <v>9828527</v>
      </c>
      <c r="H507" s="5">
        <f>IFERROR((tbl_raw[[#This Row],[Revenue]]-tbl_raw[[#This Row],[COGS]]) / tbl_raw[[#This Row],[Revenue]], 0)</f>
        <v>0.55843903409090911</v>
      </c>
      <c r="I507" s="5" t="str" cm="1">
        <f t="array" ref="I50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07" s="5">
        <f>_xlfn.XLOOKUP(tbl_raw[[#This Row],[Kategori]], tbl_target[Kategori], tbl_target[Target_Margin], 0)</f>
        <v>0.35</v>
      </c>
      <c r="K507" t="s">
        <v>14</v>
      </c>
      <c r="L507" t="s">
        <v>49</v>
      </c>
      <c r="M507">
        <v>15025138</v>
      </c>
    </row>
    <row r="508" spans="1:13" x14ac:dyDescent="0.3">
      <c r="A508" t="s">
        <v>377</v>
      </c>
      <c r="B508" t="s">
        <v>366</v>
      </c>
      <c r="C508" t="s">
        <v>23</v>
      </c>
      <c r="D508" t="s">
        <v>27</v>
      </c>
      <c r="E508">
        <v>8800000</v>
      </c>
      <c r="F508">
        <v>4449604</v>
      </c>
      <c r="G508">
        <v>4350396</v>
      </c>
      <c r="H508" s="5">
        <f>IFERROR((tbl_raw[[#This Row],[Revenue]]-tbl_raw[[#This Row],[COGS]]) / tbl_raw[[#This Row],[Revenue]], 0)</f>
        <v>0.49436318181818184</v>
      </c>
      <c r="I508" s="5" t="str" cm="1">
        <f t="array" ref="I50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08" s="5">
        <f>_xlfn.XLOOKUP(tbl_raw[[#This Row],[Kategori]], tbl_target[Kategori], tbl_target[Target_Margin], 0)</f>
        <v>0.35</v>
      </c>
      <c r="K508" t="s">
        <v>36</v>
      </c>
      <c r="L508" t="s">
        <v>28</v>
      </c>
      <c r="M508">
        <v>11084113</v>
      </c>
    </row>
    <row r="509" spans="1:13" x14ac:dyDescent="0.3">
      <c r="A509" t="s">
        <v>378</v>
      </c>
      <c r="B509" t="s">
        <v>366</v>
      </c>
      <c r="C509" t="s">
        <v>20</v>
      </c>
      <c r="D509" t="s">
        <v>30</v>
      </c>
      <c r="E509">
        <v>16300000</v>
      </c>
      <c r="F509">
        <v>8640966</v>
      </c>
      <c r="G509">
        <v>7659034</v>
      </c>
      <c r="H509" s="5">
        <f>IFERROR((tbl_raw[[#This Row],[Revenue]]-tbl_raw[[#This Row],[COGS]]) / tbl_raw[[#This Row],[Revenue]], 0)</f>
        <v>0.46987938650306749</v>
      </c>
      <c r="I509" s="5" t="str" cm="1">
        <f t="array" ref="I50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09" s="5">
        <f>_xlfn.XLOOKUP(tbl_raw[[#This Row],[Kategori]], tbl_target[Kategori], tbl_target[Target_Margin], 0)</f>
        <v>0.4</v>
      </c>
      <c r="K509" t="s">
        <v>18</v>
      </c>
      <c r="L509" t="s">
        <v>19</v>
      </c>
      <c r="M509">
        <v>18941246</v>
      </c>
    </row>
    <row r="510" spans="1:13" x14ac:dyDescent="0.3">
      <c r="A510" t="s">
        <v>379</v>
      </c>
      <c r="B510" t="s">
        <v>366</v>
      </c>
      <c r="C510" t="s">
        <v>23</v>
      </c>
      <c r="D510" t="s">
        <v>24</v>
      </c>
      <c r="E510">
        <v>17200000</v>
      </c>
      <c r="F510">
        <v>7398378</v>
      </c>
      <c r="G510">
        <v>9801622</v>
      </c>
      <c r="H510" s="5">
        <f>IFERROR((tbl_raw[[#This Row],[Revenue]]-tbl_raw[[#This Row],[COGS]]) / tbl_raw[[#This Row],[Revenue]], 0)</f>
        <v>0.56986174418604651</v>
      </c>
      <c r="I510" s="5" t="str" cm="1">
        <f t="array" ref="I51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10" s="5">
        <f>_xlfn.XLOOKUP(tbl_raw[[#This Row],[Kategori]], tbl_target[Kategori], tbl_target[Target_Margin], 0)</f>
        <v>0.35</v>
      </c>
      <c r="K510" t="s">
        <v>14</v>
      </c>
      <c r="L510" t="s">
        <v>34</v>
      </c>
      <c r="M510">
        <v>18295102</v>
      </c>
    </row>
    <row r="511" spans="1:13" x14ac:dyDescent="0.3">
      <c r="A511" t="s">
        <v>380</v>
      </c>
      <c r="B511" t="s">
        <v>366</v>
      </c>
      <c r="C511" t="s">
        <v>12</v>
      </c>
      <c r="D511" t="s">
        <v>17</v>
      </c>
      <c r="E511">
        <v>14200000</v>
      </c>
      <c r="F511">
        <v>7751534</v>
      </c>
      <c r="G511">
        <v>6448466</v>
      </c>
      <c r="H511" s="5">
        <f>IFERROR((tbl_raw[[#This Row],[Revenue]]-tbl_raw[[#This Row],[COGS]]) / tbl_raw[[#This Row],[Revenue]], 0)</f>
        <v>0.454117323943662</v>
      </c>
      <c r="I511" s="5" t="str" cm="1">
        <f t="array" ref="I51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11" s="5">
        <f>_xlfn.XLOOKUP(tbl_raw[[#This Row],[Kategori]], tbl_target[Kategori], tbl_target[Target_Margin], 0)</f>
        <v>0.25</v>
      </c>
      <c r="K511" t="s">
        <v>14</v>
      </c>
      <c r="L511" t="s">
        <v>25</v>
      </c>
      <c r="M511">
        <v>15472885</v>
      </c>
    </row>
    <row r="512" spans="1:13" x14ac:dyDescent="0.3">
      <c r="A512" t="s">
        <v>381</v>
      </c>
      <c r="B512" t="s">
        <v>366</v>
      </c>
      <c r="C512" t="s">
        <v>23</v>
      </c>
      <c r="D512" t="s">
        <v>24</v>
      </c>
      <c r="E512">
        <v>15800000</v>
      </c>
      <c r="F512">
        <v>7390881</v>
      </c>
      <c r="G512">
        <v>8409119</v>
      </c>
      <c r="H512" s="5">
        <f>IFERROR((tbl_raw[[#This Row],[Revenue]]-tbl_raw[[#This Row],[COGS]]) / tbl_raw[[#This Row],[Revenue]], 0)</f>
        <v>0.53222272151898731</v>
      </c>
      <c r="I512" s="5" t="str" cm="1">
        <f t="array" ref="I51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12" s="5">
        <f>_xlfn.XLOOKUP(tbl_raw[[#This Row],[Kategori]], tbl_target[Kategori], tbl_target[Target_Margin], 0)</f>
        <v>0.35</v>
      </c>
      <c r="K512" t="s">
        <v>18</v>
      </c>
      <c r="L512" t="s">
        <v>31</v>
      </c>
      <c r="M512">
        <v>17857329</v>
      </c>
    </row>
    <row r="513" spans="1:13" x14ac:dyDescent="0.3">
      <c r="A513" t="s">
        <v>382</v>
      </c>
      <c r="B513" t="s">
        <v>366</v>
      </c>
      <c r="C513" t="s">
        <v>23</v>
      </c>
      <c r="D513" t="s">
        <v>27</v>
      </c>
      <c r="E513">
        <v>2700000</v>
      </c>
      <c r="F513">
        <v>1152305</v>
      </c>
      <c r="G513">
        <v>1547695</v>
      </c>
      <c r="H513" s="5">
        <f>IFERROR((tbl_raw[[#This Row],[Revenue]]-tbl_raw[[#This Row],[COGS]]) / tbl_raw[[#This Row],[Revenue]], 0)</f>
        <v>0.57322037037037032</v>
      </c>
      <c r="I513" s="5" t="str" cm="1">
        <f t="array" ref="I51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13" s="5">
        <f>_xlfn.XLOOKUP(tbl_raw[[#This Row],[Kategori]], tbl_target[Kategori], tbl_target[Target_Margin], 0)</f>
        <v>0.35</v>
      </c>
      <c r="K513" t="s">
        <v>14</v>
      </c>
      <c r="L513" t="s">
        <v>15</v>
      </c>
      <c r="M513">
        <v>2953084</v>
      </c>
    </row>
    <row r="514" spans="1:13" x14ac:dyDescent="0.3">
      <c r="A514" t="s">
        <v>383</v>
      </c>
      <c r="B514" t="s">
        <v>366</v>
      </c>
      <c r="C514" t="s">
        <v>12</v>
      </c>
      <c r="D514" t="s">
        <v>32</v>
      </c>
      <c r="E514">
        <v>15900000</v>
      </c>
      <c r="F514">
        <v>9144211</v>
      </c>
      <c r="G514">
        <v>6755789</v>
      </c>
      <c r="H514" s="5">
        <f>IFERROR((tbl_raw[[#This Row],[Revenue]]-tbl_raw[[#This Row],[COGS]]) / tbl_raw[[#This Row],[Revenue]], 0)</f>
        <v>0.42489238993710693</v>
      </c>
      <c r="I514" s="5" t="str" cm="1">
        <f t="array" ref="I51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14" s="5">
        <f>_xlfn.XLOOKUP(tbl_raw[[#This Row],[Kategori]], tbl_target[Kategori], tbl_target[Target_Margin], 0)</f>
        <v>0.25</v>
      </c>
      <c r="K514" t="s">
        <v>18</v>
      </c>
      <c r="L514" t="s">
        <v>31</v>
      </c>
      <c r="M514">
        <v>20249797</v>
      </c>
    </row>
    <row r="515" spans="1:13" x14ac:dyDescent="0.3">
      <c r="A515" t="s">
        <v>383</v>
      </c>
      <c r="B515" t="s">
        <v>366</v>
      </c>
      <c r="C515" t="s">
        <v>23</v>
      </c>
      <c r="D515" t="s">
        <v>27</v>
      </c>
      <c r="E515">
        <v>1000000</v>
      </c>
      <c r="F515">
        <v>431844</v>
      </c>
      <c r="G515">
        <v>568156</v>
      </c>
      <c r="H515" s="5">
        <f>IFERROR((tbl_raw[[#This Row],[Revenue]]-tbl_raw[[#This Row],[COGS]]) / tbl_raw[[#This Row],[Revenue]], 0)</f>
        <v>0.56815599999999999</v>
      </c>
      <c r="I515" s="5" t="str" cm="1">
        <f t="array" ref="I51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15" s="5">
        <f>_xlfn.XLOOKUP(tbl_raw[[#This Row],[Kategori]], tbl_target[Kategori], tbl_target[Target_Margin], 0)</f>
        <v>0.35</v>
      </c>
      <c r="K515" t="s">
        <v>14</v>
      </c>
      <c r="L515" t="s">
        <v>34</v>
      </c>
      <c r="M515">
        <v>1144818</v>
      </c>
    </row>
    <row r="516" spans="1:13" x14ac:dyDescent="0.3">
      <c r="A516" t="s">
        <v>383</v>
      </c>
      <c r="B516" t="s">
        <v>366</v>
      </c>
      <c r="C516" t="s">
        <v>23</v>
      </c>
      <c r="D516" t="s">
        <v>24</v>
      </c>
      <c r="E516">
        <v>14000000</v>
      </c>
      <c r="F516">
        <v>7484771</v>
      </c>
      <c r="G516">
        <v>6515229</v>
      </c>
      <c r="H516" s="5">
        <f>IFERROR((tbl_raw[[#This Row],[Revenue]]-tbl_raw[[#This Row],[COGS]]) / tbl_raw[[#This Row],[Revenue]], 0)</f>
        <v>0.4653735</v>
      </c>
      <c r="I516" s="5" t="str" cm="1">
        <f t="array" ref="I51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16" s="5">
        <f>_xlfn.XLOOKUP(tbl_raw[[#This Row],[Kategori]], tbl_target[Kategori], tbl_target[Target_Margin], 0)</f>
        <v>0.35</v>
      </c>
      <c r="K516" t="s">
        <v>18</v>
      </c>
      <c r="L516" t="s">
        <v>15</v>
      </c>
      <c r="M516">
        <v>13031254</v>
      </c>
    </row>
    <row r="517" spans="1:13" x14ac:dyDescent="0.3">
      <c r="A517" t="s">
        <v>383</v>
      </c>
      <c r="B517" t="s">
        <v>366</v>
      </c>
      <c r="C517" t="s">
        <v>12</v>
      </c>
      <c r="D517" t="s">
        <v>13</v>
      </c>
      <c r="E517">
        <v>9100000</v>
      </c>
      <c r="F517">
        <v>5415578</v>
      </c>
      <c r="G517">
        <v>3684422</v>
      </c>
      <c r="H517" s="5">
        <f>IFERROR((tbl_raw[[#This Row],[Revenue]]-tbl_raw[[#This Row],[COGS]]) / tbl_raw[[#This Row],[Revenue]], 0)</f>
        <v>0.40488153846153846</v>
      </c>
      <c r="I517" s="5" t="str" cm="1">
        <f t="array" ref="I51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17" s="5">
        <f>_xlfn.XLOOKUP(tbl_raw[[#This Row],[Kategori]], tbl_target[Kategori], tbl_target[Target_Margin], 0)</f>
        <v>0.25</v>
      </c>
      <c r="K517" t="s">
        <v>18</v>
      </c>
      <c r="L517" t="s">
        <v>25</v>
      </c>
      <c r="M517">
        <v>10694419</v>
      </c>
    </row>
    <row r="518" spans="1:13" x14ac:dyDescent="0.3">
      <c r="A518" t="s">
        <v>384</v>
      </c>
      <c r="B518" t="s">
        <v>366</v>
      </c>
      <c r="C518" t="s">
        <v>12</v>
      </c>
      <c r="D518" t="s">
        <v>13</v>
      </c>
      <c r="E518">
        <v>4600000</v>
      </c>
      <c r="F518">
        <v>2452439</v>
      </c>
      <c r="G518">
        <v>2147561</v>
      </c>
      <c r="H518" s="5">
        <f>IFERROR((tbl_raw[[#This Row],[Revenue]]-tbl_raw[[#This Row],[COGS]]) / tbl_raw[[#This Row],[Revenue]], 0)</f>
        <v>0.46686108695652173</v>
      </c>
      <c r="I518" s="5" t="str" cm="1">
        <f t="array" ref="I51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18" s="5">
        <f>_xlfn.XLOOKUP(tbl_raw[[#This Row],[Kategori]], tbl_target[Kategori], tbl_target[Target_Margin], 0)</f>
        <v>0.25</v>
      </c>
      <c r="K518" t="s">
        <v>14</v>
      </c>
      <c r="L518" t="s">
        <v>15</v>
      </c>
      <c r="M518">
        <v>4252238</v>
      </c>
    </row>
    <row r="519" spans="1:13" x14ac:dyDescent="0.3">
      <c r="A519" t="s">
        <v>385</v>
      </c>
      <c r="B519" t="s">
        <v>366</v>
      </c>
      <c r="C519" t="s">
        <v>12</v>
      </c>
      <c r="D519" t="s">
        <v>13</v>
      </c>
      <c r="E519">
        <v>15600000</v>
      </c>
      <c r="F519">
        <v>7848608</v>
      </c>
      <c r="G519">
        <v>7751392</v>
      </c>
      <c r="H519" s="5">
        <f>IFERROR((tbl_raw[[#This Row],[Revenue]]-tbl_raw[[#This Row],[COGS]]) / tbl_raw[[#This Row],[Revenue]], 0)</f>
        <v>0.49688410256410254</v>
      </c>
      <c r="I519" s="5" t="str" cm="1">
        <f t="array" ref="I51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19" s="5">
        <f>_xlfn.XLOOKUP(tbl_raw[[#This Row],[Kategori]], tbl_target[Kategori], tbl_target[Target_Margin], 0)</f>
        <v>0.25</v>
      </c>
      <c r="K519" t="s">
        <v>36</v>
      </c>
      <c r="L519" t="s">
        <v>49</v>
      </c>
      <c r="M519">
        <v>17255351</v>
      </c>
    </row>
    <row r="520" spans="1:13" x14ac:dyDescent="0.3">
      <c r="A520" t="s">
        <v>385</v>
      </c>
      <c r="B520" t="s">
        <v>366</v>
      </c>
      <c r="C520" t="s">
        <v>20</v>
      </c>
      <c r="D520" t="s">
        <v>21</v>
      </c>
      <c r="E520">
        <v>5000000</v>
      </c>
      <c r="F520">
        <v>1808697</v>
      </c>
      <c r="G520">
        <v>3191303</v>
      </c>
      <c r="H520" s="5">
        <f>IFERROR((tbl_raw[[#This Row],[Revenue]]-tbl_raw[[#This Row],[COGS]]) / tbl_raw[[#This Row],[Revenue]], 0)</f>
        <v>0.63826059999999996</v>
      </c>
      <c r="I520" s="5" t="str" cm="1">
        <f t="array" ref="I52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20" s="5">
        <f>_xlfn.XLOOKUP(tbl_raw[[#This Row],[Kategori]], tbl_target[Kategori], tbl_target[Target_Margin], 0)</f>
        <v>0.4</v>
      </c>
      <c r="K520" t="s">
        <v>36</v>
      </c>
      <c r="L520" t="s">
        <v>28</v>
      </c>
      <c r="M520">
        <v>6301271</v>
      </c>
    </row>
    <row r="521" spans="1:13" x14ac:dyDescent="0.3">
      <c r="A521" t="s">
        <v>386</v>
      </c>
      <c r="B521" t="s">
        <v>366</v>
      </c>
      <c r="C521" t="s">
        <v>12</v>
      </c>
      <c r="D521" t="s">
        <v>13</v>
      </c>
      <c r="E521">
        <v>6300000</v>
      </c>
      <c r="F521">
        <v>3297569</v>
      </c>
      <c r="G521">
        <v>3002431</v>
      </c>
      <c r="H521" s="5">
        <f>IFERROR((tbl_raw[[#This Row],[Revenue]]-tbl_raw[[#This Row],[COGS]]) / tbl_raw[[#This Row],[Revenue]], 0)</f>
        <v>0.47657634920634923</v>
      </c>
      <c r="I521" s="5" t="str" cm="1">
        <f t="array" ref="I52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21" s="5">
        <f>_xlfn.XLOOKUP(tbl_raw[[#This Row],[Kategori]], tbl_target[Kategori], tbl_target[Target_Margin], 0)</f>
        <v>0.25</v>
      </c>
      <c r="K521" t="s">
        <v>48</v>
      </c>
      <c r="L521" t="s">
        <v>19</v>
      </c>
      <c r="M521">
        <v>8181100</v>
      </c>
    </row>
    <row r="522" spans="1:13" x14ac:dyDescent="0.3">
      <c r="A522" t="s">
        <v>386</v>
      </c>
      <c r="B522" t="s">
        <v>366</v>
      </c>
      <c r="C522" t="s">
        <v>23</v>
      </c>
      <c r="D522" t="s">
        <v>24</v>
      </c>
      <c r="E522">
        <v>11200000</v>
      </c>
      <c r="F522">
        <v>4223868</v>
      </c>
      <c r="G522">
        <v>6976132</v>
      </c>
      <c r="H522" s="5">
        <f>IFERROR((tbl_raw[[#This Row],[Revenue]]-tbl_raw[[#This Row],[COGS]]) / tbl_raw[[#This Row],[Revenue]], 0)</f>
        <v>0.62286892857142862</v>
      </c>
      <c r="I522" s="5" t="str" cm="1">
        <f t="array" ref="I52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22" s="5">
        <f>_xlfn.XLOOKUP(tbl_raw[[#This Row],[Kategori]], tbl_target[Kategori], tbl_target[Target_Margin], 0)</f>
        <v>0.35</v>
      </c>
      <c r="K522" t="s">
        <v>48</v>
      </c>
      <c r="L522" t="s">
        <v>31</v>
      </c>
      <c r="M522">
        <v>13240738</v>
      </c>
    </row>
    <row r="523" spans="1:13" x14ac:dyDescent="0.3">
      <c r="A523" t="s">
        <v>386</v>
      </c>
      <c r="B523" t="s">
        <v>366</v>
      </c>
      <c r="C523" t="s">
        <v>23</v>
      </c>
      <c r="D523" t="s">
        <v>58</v>
      </c>
      <c r="E523">
        <v>10800000</v>
      </c>
      <c r="F523">
        <v>5180439</v>
      </c>
      <c r="G523">
        <v>5619561</v>
      </c>
      <c r="H523" s="5">
        <f>IFERROR((tbl_raw[[#This Row],[Revenue]]-tbl_raw[[#This Row],[COGS]]) / tbl_raw[[#This Row],[Revenue]], 0)</f>
        <v>0.52032972222222218</v>
      </c>
      <c r="I523" s="5" t="str" cm="1">
        <f t="array" ref="I52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23" s="5">
        <f>_xlfn.XLOOKUP(tbl_raw[[#This Row],[Kategori]], tbl_target[Kategori], tbl_target[Target_Margin], 0)</f>
        <v>0.35</v>
      </c>
      <c r="K523" t="s">
        <v>36</v>
      </c>
      <c r="L523" t="s">
        <v>15</v>
      </c>
      <c r="M523">
        <v>9110296</v>
      </c>
    </row>
    <row r="524" spans="1:13" x14ac:dyDescent="0.3">
      <c r="A524" t="s">
        <v>387</v>
      </c>
      <c r="B524" t="s">
        <v>388</v>
      </c>
      <c r="C524" t="s">
        <v>23</v>
      </c>
      <c r="D524" t="s">
        <v>27</v>
      </c>
      <c r="E524">
        <v>19900000</v>
      </c>
      <c r="F524">
        <v>7563208</v>
      </c>
      <c r="G524">
        <v>12336792</v>
      </c>
      <c r="H524" s="5">
        <f>IFERROR((tbl_raw[[#This Row],[Revenue]]-tbl_raw[[#This Row],[COGS]]) / tbl_raw[[#This Row],[Revenue]], 0)</f>
        <v>0.61993929648241208</v>
      </c>
      <c r="I524" s="5" t="str" cm="1">
        <f t="array" ref="I52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24" s="5">
        <f>_xlfn.XLOOKUP(tbl_raw[[#This Row],[Kategori]], tbl_target[Kategori], tbl_target[Target_Margin], 0)</f>
        <v>0.35</v>
      </c>
      <c r="K524" t="s">
        <v>18</v>
      </c>
      <c r="L524" t="s">
        <v>25</v>
      </c>
      <c r="M524">
        <v>25340691</v>
      </c>
    </row>
    <row r="525" spans="1:13" x14ac:dyDescent="0.3">
      <c r="A525" t="s">
        <v>389</v>
      </c>
      <c r="B525" t="s">
        <v>388</v>
      </c>
      <c r="C525" t="s">
        <v>12</v>
      </c>
      <c r="D525" t="s">
        <v>17</v>
      </c>
      <c r="E525">
        <v>15900000</v>
      </c>
      <c r="F525">
        <v>6470602</v>
      </c>
      <c r="G525">
        <v>9429398</v>
      </c>
      <c r="H525" s="5">
        <f>IFERROR((tbl_raw[[#This Row],[Revenue]]-tbl_raw[[#This Row],[COGS]]) / tbl_raw[[#This Row],[Revenue]], 0)</f>
        <v>0.59304389937106916</v>
      </c>
      <c r="I525" s="5" t="str" cm="1">
        <f t="array" ref="I52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25" s="5">
        <f>_xlfn.XLOOKUP(tbl_raw[[#This Row],[Kategori]], tbl_target[Kategori], tbl_target[Target_Margin], 0)</f>
        <v>0.25</v>
      </c>
      <c r="K525" t="s">
        <v>14</v>
      </c>
      <c r="L525" t="s">
        <v>25</v>
      </c>
      <c r="M525">
        <v>15489325</v>
      </c>
    </row>
    <row r="526" spans="1:13" x14ac:dyDescent="0.3">
      <c r="A526" t="s">
        <v>389</v>
      </c>
      <c r="B526" t="s">
        <v>388</v>
      </c>
      <c r="C526" t="s">
        <v>20</v>
      </c>
      <c r="D526" t="s">
        <v>21</v>
      </c>
      <c r="E526">
        <v>8300000</v>
      </c>
      <c r="F526">
        <v>4679911</v>
      </c>
      <c r="G526">
        <v>3620089</v>
      </c>
      <c r="H526" s="5">
        <f>IFERROR((tbl_raw[[#This Row],[Revenue]]-tbl_raw[[#This Row],[COGS]]) / tbl_raw[[#This Row],[Revenue]], 0)</f>
        <v>0.43615530120481927</v>
      </c>
      <c r="I526" s="5" t="str" cm="1">
        <f t="array" ref="I52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26" s="5">
        <f>_xlfn.XLOOKUP(tbl_raw[[#This Row],[Kategori]], tbl_target[Kategori], tbl_target[Target_Margin], 0)</f>
        <v>0.4</v>
      </c>
      <c r="K526" t="s">
        <v>36</v>
      </c>
      <c r="L526" t="s">
        <v>34</v>
      </c>
      <c r="M526">
        <v>8590134</v>
      </c>
    </row>
    <row r="527" spans="1:13" x14ac:dyDescent="0.3">
      <c r="A527" t="s">
        <v>390</v>
      </c>
      <c r="B527" t="s">
        <v>388</v>
      </c>
      <c r="C527" t="s">
        <v>23</v>
      </c>
      <c r="D527" t="s">
        <v>58</v>
      </c>
      <c r="E527">
        <v>18100000</v>
      </c>
      <c r="F527">
        <v>8991739</v>
      </c>
      <c r="G527">
        <v>9108261</v>
      </c>
      <c r="H527" s="5">
        <f>IFERROR((tbl_raw[[#This Row],[Revenue]]-tbl_raw[[#This Row],[COGS]]) / tbl_raw[[#This Row],[Revenue]], 0)</f>
        <v>0.5032188397790055</v>
      </c>
      <c r="I527" s="5" t="str" cm="1">
        <f t="array" ref="I52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27" s="5">
        <f>_xlfn.XLOOKUP(tbl_raw[[#This Row],[Kategori]], tbl_target[Kategori], tbl_target[Target_Margin], 0)</f>
        <v>0.35</v>
      </c>
      <c r="K527" t="s">
        <v>36</v>
      </c>
      <c r="L527" t="s">
        <v>49</v>
      </c>
      <c r="M527">
        <v>22449753</v>
      </c>
    </row>
    <row r="528" spans="1:13" x14ac:dyDescent="0.3">
      <c r="A528" t="s">
        <v>390</v>
      </c>
      <c r="B528" t="s">
        <v>388</v>
      </c>
      <c r="C528" t="s">
        <v>23</v>
      </c>
      <c r="D528" t="s">
        <v>27</v>
      </c>
      <c r="E528">
        <v>6600000</v>
      </c>
      <c r="F528">
        <v>3808202</v>
      </c>
      <c r="G528">
        <v>2791798</v>
      </c>
      <c r="H528" s="5">
        <f>IFERROR((tbl_raw[[#This Row],[Revenue]]-tbl_raw[[#This Row],[COGS]]) / tbl_raw[[#This Row],[Revenue]], 0)</f>
        <v>0.42299969696969697</v>
      </c>
      <c r="I528" s="5" t="str" cm="1">
        <f t="array" ref="I52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28" s="5">
        <f>_xlfn.XLOOKUP(tbl_raw[[#This Row],[Kategori]], tbl_target[Kategori], tbl_target[Target_Margin], 0)</f>
        <v>0.35</v>
      </c>
      <c r="K528" t="s">
        <v>14</v>
      </c>
      <c r="L528" t="s">
        <v>31</v>
      </c>
      <c r="M528">
        <v>6957772</v>
      </c>
    </row>
    <row r="529" spans="1:13" x14ac:dyDescent="0.3">
      <c r="A529" t="s">
        <v>391</v>
      </c>
      <c r="B529" t="s">
        <v>388</v>
      </c>
      <c r="C529" t="s">
        <v>12</v>
      </c>
      <c r="D529" t="s">
        <v>32</v>
      </c>
      <c r="E529">
        <v>8300000</v>
      </c>
      <c r="F529">
        <v>4487337</v>
      </c>
      <c r="G529">
        <v>3812663</v>
      </c>
      <c r="H529" s="5">
        <f>IFERROR((tbl_raw[[#This Row],[Revenue]]-tbl_raw[[#This Row],[COGS]]) / tbl_raw[[#This Row],[Revenue]], 0)</f>
        <v>0.45935698795180724</v>
      </c>
      <c r="I529" s="5" t="str" cm="1">
        <f t="array" ref="I52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29" s="5">
        <f>_xlfn.XLOOKUP(tbl_raw[[#This Row],[Kategori]], tbl_target[Kategori], tbl_target[Target_Margin], 0)</f>
        <v>0.25</v>
      </c>
      <c r="K529" t="s">
        <v>22</v>
      </c>
      <c r="L529" t="s">
        <v>28</v>
      </c>
      <c r="M529">
        <v>7180884</v>
      </c>
    </row>
    <row r="530" spans="1:13" x14ac:dyDescent="0.3">
      <c r="A530" t="s">
        <v>392</v>
      </c>
      <c r="B530" t="s">
        <v>388</v>
      </c>
      <c r="C530" t="s">
        <v>20</v>
      </c>
      <c r="D530" t="s">
        <v>21</v>
      </c>
      <c r="E530">
        <v>5600000</v>
      </c>
      <c r="F530">
        <v>2349789</v>
      </c>
      <c r="G530">
        <v>3250211</v>
      </c>
      <c r="H530" s="5">
        <f>IFERROR((tbl_raw[[#This Row],[Revenue]]-tbl_raw[[#This Row],[COGS]]) / tbl_raw[[#This Row],[Revenue]], 0)</f>
        <v>0.58039482142857146</v>
      </c>
      <c r="I530" s="5" t="str" cm="1">
        <f t="array" ref="I53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30" s="5">
        <f>_xlfn.XLOOKUP(tbl_raw[[#This Row],[Kategori]], tbl_target[Kategori], tbl_target[Target_Margin], 0)</f>
        <v>0.4</v>
      </c>
      <c r="K530" t="s">
        <v>36</v>
      </c>
      <c r="L530" t="s">
        <v>28</v>
      </c>
      <c r="M530">
        <v>7165358</v>
      </c>
    </row>
    <row r="531" spans="1:13" x14ac:dyDescent="0.3">
      <c r="A531" t="s">
        <v>392</v>
      </c>
      <c r="B531" t="s">
        <v>388</v>
      </c>
      <c r="C531" t="s">
        <v>20</v>
      </c>
      <c r="D531" t="s">
        <v>40</v>
      </c>
      <c r="E531">
        <v>4500000</v>
      </c>
      <c r="F531">
        <v>2532485</v>
      </c>
      <c r="G531">
        <v>1967515</v>
      </c>
      <c r="H531" s="5">
        <f>IFERROR((tbl_raw[[#This Row],[Revenue]]-tbl_raw[[#This Row],[COGS]]) / tbl_raw[[#This Row],[Revenue]], 0)</f>
        <v>0.43722555555555553</v>
      </c>
      <c r="I531" s="5" t="str" cm="1">
        <f t="array" ref="I53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31" s="5">
        <f>_xlfn.XLOOKUP(tbl_raw[[#This Row],[Kategori]], tbl_target[Kategori], tbl_target[Target_Margin], 0)</f>
        <v>0.4</v>
      </c>
      <c r="K531" t="s">
        <v>48</v>
      </c>
      <c r="L531" t="s">
        <v>34</v>
      </c>
      <c r="M531">
        <v>4890808</v>
      </c>
    </row>
    <row r="532" spans="1:13" x14ac:dyDescent="0.3">
      <c r="A532" t="s">
        <v>392</v>
      </c>
      <c r="B532" t="s">
        <v>388</v>
      </c>
      <c r="C532" t="s">
        <v>12</v>
      </c>
      <c r="D532" t="s">
        <v>32</v>
      </c>
      <c r="E532">
        <v>2800000</v>
      </c>
      <c r="F532">
        <v>1634061</v>
      </c>
      <c r="G532">
        <v>1165939</v>
      </c>
      <c r="H532" s="5">
        <f>IFERROR((tbl_raw[[#This Row],[Revenue]]-tbl_raw[[#This Row],[COGS]]) / tbl_raw[[#This Row],[Revenue]], 0)</f>
        <v>0.41640678571428569</v>
      </c>
      <c r="I532" s="5" t="str" cm="1">
        <f t="array" ref="I53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32" s="5">
        <f>_xlfn.XLOOKUP(tbl_raw[[#This Row],[Kategori]], tbl_target[Kategori], tbl_target[Target_Margin], 0)</f>
        <v>0.25</v>
      </c>
      <c r="K532" t="s">
        <v>48</v>
      </c>
      <c r="L532" t="s">
        <v>49</v>
      </c>
      <c r="M532">
        <v>3351025</v>
      </c>
    </row>
    <row r="533" spans="1:13" x14ac:dyDescent="0.3">
      <c r="A533" t="s">
        <v>393</v>
      </c>
      <c r="B533" t="s">
        <v>388</v>
      </c>
      <c r="C533" t="s">
        <v>20</v>
      </c>
      <c r="D533" t="s">
        <v>40</v>
      </c>
      <c r="E533">
        <v>12100000</v>
      </c>
      <c r="F533">
        <v>4699871</v>
      </c>
      <c r="G533">
        <v>7400129</v>
      </c>
      <c r="H533" s="5">
        <f>IFERROR((tbl_raw[[#This Row],[Revenue]]-tbl_raw[[#This Row],[COGS]]) / tbl_raw[[#This Row],[Revenue]], 0)</f>
        <v>0.61158090909090912</v>
      </c>
      <c r="I533" s="5" t="str" cm="1">
        <f t="array" ref="I53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33" s="5">
        <f>_xlfn.XLOOKUP(tbl_raw[[#This Row],[Kategori]], tbl_target[Kategori], tbl_target[Target_Margin], 0)</f>
        <v>0.4</v>
      </c>
      <c r="K533" t="s">
        <v>18</v>
      </c>
      <c r="L533" t="s">
        <v>28</v>
      </c>
      <c r="M533">
        <v>15005372</v>
      </c>
    </row>
    <row r="534" spans="1:13" x14ac:dyDescent="0.3">
      <c r="A534" t="s">
        <v>393</v>
      </c>
      <c r="B534" t="s">
        <v>388</v>
      </c>
      <c r="C534" t="s">
        <v>20</v>
      </c>
      <c r="D534" t="s">
        <v>21</v>
      </c>
      <c r="E534">
        <v>19200000</v>
      </c>
      <c r="F534">
        <v>9543941</v>
      </c>
      <c r="G534">
        <v>9656059</v>
      </c>
      <c r="H534" s="5">
        <f>IFERROR((tbl_raw[[#This Row],[Revenue]]-tbl_raw[[#This Row],[COGS]]) / tbl_raw[[#This Row],[Revenue]], 0)</f>
        <v>0.50291973958333336</v>
      </c>
      <c r="I534" s="5" t="str" cm="1">
        <f t="array" ref="I53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34" s="5">
        <f>_xlfn.XLOOKUP(tbl_raw[[#This Row],[Kategori]], tbl_target[Kategori], tbl_target[Target_Margin], 0)</f>
        <v>0.4</v>
      </c>
      <c r="K534" t="s">
        <v>18</v>
      </c>
      <c r="L534" t="s">
        <v>28</v>
      </c>
      <c r="M534">
        <v>24619539</v>
      </c>
    </row>
    <row r="535" spans="1:13" x14ac:dyDescent="0.3">
      <c r="A535" t="s">
        <v>394</v>
      </c>
      <c r="B535" t="s">
        <v>388</v>
      </c>
      <c r="C535" t="s">
        <v>23</v>
      </c>
      <c r="D535" t="s">
        <v>24</v>
      </c>
      <c r="E535">
        <v>5500000</v>
      </c>
      <c r="F535">
        <v>2256507</v>
      </c>
      <c r="G535">
        <v>3243493</v>
      </c>
      <c r="H535" s="5">
        <f>IFERROR((tbl_raw[[#This Row],[Revenue]]-tbl_raw[[#This Row],[COGS]]) / tbl_raw[[#This Row],[Revenue]], 0)</f>
        <v>0.58972599999999997</v>
      </c>
      <c r="I535" s="5" t="str" cm="1">
        <f t="array" ref="I53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35" s="5">
        <f>_xlfn.XLOOKUP(tbl_raw[[#This Row],[Kategori]], tbl_target[Kategori], tbl_target[Target_Margin], 0)</f>
        <v>0.35</v>
      </c>
      <c r="K535" t="s">
        <v>48</v>
      </c>
      <c r="L535" t="s">
        <v>41</v>
      </c>
      <c r="M535">
        <v>4651401</v>
      </c>
    </row>
    <row r="536" spans="1:13" x14ac:dyDescent="0.3">
      <c r="A536" t="s">
        <v>395</v>
      </c>
      <c r="B536" t="s">
        <v>388</v>
      </c>
      <c r="C536" t="s">
        <v>23</v>
      </c>
      <c r="D536" t="s">
        <v>24</v>
      </c>
      <c r="E536">
        <v>11100000</v>
      </c>
      <c r="F536">
        <v>5666046</v>
      </c>
      <c r="G536">
        <v>5433954</v>
      </c>
      <c r="H536" s="5">
        <f>IFERROR((tbl_raw[[#This Row],[Revenue]]-tbl_raw[[#This Row],[COGS]]) / tbl_raw[[#This Row],[Revenue]], 0)</f>
        <v>0.48954540540540542</v>
      </c>
      <c r="I536" s="5" t="str" cm="1">
        <f t="array" ref="I53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36" s="5">
        <f>_xlfn.XLOOKUP(tbl_raw[[#This Row],[Kategori]], tbl_target[Kategori], tbl_target[Target_Margin], 0)</f>
        <v>0.35</v>
      </c>
      <c r="K536" t="s">
        <v>48</v>
      </c>
      <c r="L536" t="s">
        <v>31</v>
      </c>
      <c r="M536">
        <v>11077745</v>
      </c>
    </row>
    <row r="537" spans="1:13" x14ac:dyDescent="0.3">
      <c r="A537" t="s">
        <v>396</v>
      </c>
      <c r="B537" t="s">
        <v>388</v>
      </c>
      <c r="C537" t="s">
        <v>20</v>
      </c>
      <c r="D537" t="s">
        <v>30</v>
      </c>
      <c r="E537">
        <v>7700000</v>
      </c>
      <c r="F537">
        <v>3311609</v>
      </c>
      <c r="G537">
        <v>4388391</v>
      </c>
      <c r="H537" s="5">
        <f>IFERROR((tbl_raw[[#This Row],[Revenue]]-tbl_raw[[#This Row],[COGS]]) / tbl_raw[[#This Row],[Revenue]], 0)</f>
        <v>0.56992090909090909</v>
      </c>
      <c r="I537" s="5" t="str" cm="1">
        <f t="array" ref="I53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37" s="5">
        <f>_xlfn.XLOOKUP(tbl_raw[[#This Row],[Kategori]], tbl_target[Kategori], tbl_target[Target_Margin], 0)</f>
        <v>0.4</v>
      </c>
      <c r="K537" t="s">
        <v>48</v>
      </c>
      <c r="L537" t="s">
        <v>28</v>
      </c>
      <c r="M537">
        <v>7884432</v>
      </c>
    </row>
    <row r="538" spans="1:13" x14ac:dyDescent="0.3">
      <c r="A538" t="s">
        <v>396</v>
      </c>
      <c r="B538" t="s">
        <v>388</v>
      </c>
      <c r="C538" t="s">
        <v>23</v>
      </c>
      <c r="D538" t="s">
        <v>27</v>
      </c>
      <c r="E538">
        <v>3700000</v>
      </c>
      <c r="F538">
        <v>2120263</v>
      </c>
      <c r="G538">
        <v>1579737</v>
      </c>
      <c r="H538" s="5">
        <f>IFERROR((tbl_raw[[#This Row],[Revenue]]-tbl_raw[[#This Row],[COGS]]) / tbl_raw[[#This Row],[Revenue]], 0)</f>
        <v>0.42695594594594594</v>
      </c>
      <c r="I538" s="5" t="str" cm="1">
        <f t="array" ref="I53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38" s="5">
        <f>_xlfn.XLOOKUP(tbl_raw[[#This Row],[Kategori]], tbl_target[Kategori], tbl_target[Target_Margin], 0)</f>
        <v>0.35</v>
      </c>
      <c r="K538" t="s">
        <v>18</v>
      </c>
      <c r="L538" t="s">
        <v>49</v>
      </c>
      <c r="M538">
        <v>3029908</v>
      </c>
    </row>
    <row r="539" spans="1:13" x14ac:dyDescent="0.3">
      <c r="A539" t="s">
        <v>396</v>
      </c>
      <c r="B539" t="s">
        <v>388</v>
      </c>
      <c r="C539" t="s">
        <v>12</v>
      </c>
      <c r="D539" t="s">
        <v>13</v>
      </c>
      <c r="E539">
        <v>17400000</v>
      </c>
      <c r="F539">
        <v>8432056</v>
      </c>
      <c r="G539">
        <v>8967944</v>
      </c>
      <c r="H539" s="5">
        <f>IFERROR((tbl_raw[[#This Row],[Revenue]]-tbl_raw[[#This Row],[COGS]]) / tbl_raw[[#This Row],[Revenue]], 0)</f>
        <v>0.51539908045977012</v>
      </c>
      <c r="I539" s="5" t="str" cm="1">
        <f t="array" ref="I53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39" s="5">
        <f>_xlfn.XLOOKUP(tbl_raw[[#This Row],[Kategori]], tbl_target[Kategori], tbl_target[Target_Margin], 0)</f>
        <v>0.25</v>
      </c>
      <c r="K539" t="s">
        <v>48</v>
      </c>
      <c r="L539" t="s">
        <v>34</v>
      </c>
      <c r="M539">
        <v>20921467</v>
      </c>
    </row>
    <row r="540" spans="1:13" x14ac:dyDescent="0.3">
      <c r="A540" t="s">
        <v>397</v>
      </c>
      <c r="B540" t="s">
        <v>388</v>
      </c>
      <c r="C540" t="s">
        <v>20</v>
      </c>
      <c r="D540" t="s">
        <v>21</v>
      </c>
      <c r="E540">
        <v>5800000</v>
      </c>
      <c r="F540">
        <v>2030822</v>
      </c>
      <c r="G540">
        <v>3769178</v>
      </c>
      <c r="H540" s="5">
        <f>IFERROR((tbl_raw[[#This Row],[Revenue]]-tbl_raw[[#This Row],[COGS]]) / tbl_raw[[#This Row],[Revenue]], 0)</f>
        <v>0.64985827586206901</v>
      </c>
      <c r="I540" s="5" t="str" cm="1">
        <f t="array" ref="I54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40" s="5">
        <f>_xlfn.XLOOKUP(tbl_raw[[#This Row],[Kategori]], tbl_target[Kategori], tbl_target[Target_Margin], 0)</f>
        <v>0.4</v>
      </c>
      <c r="K540" t="s">
        <v>22</v>
      </c>
      <c r="L540" t="s">
        <v>28</v>
      </c>
      <c r="M540">
        <v>4832061</v>
      </c>
    </row>
    <row r="541" spans="1:13" x14ac:dyDescent="0.3">
      <c r="A541" t="s">
        <v>397</v>
      </c>
      <c r="B541" t="s">
        <v>388</v>
      </c>
      <c r="C541" t="s">
        <v>23</v>
      </c>
      <c r="D541" t="s">
        <v>27</v>
      </c>
      <c r="E541">
        <v>11500000</v>
      </c>
      <c r="F541">
        <v>4631646</v>
      </c>
      <c r="G541">
        <v>6868354</v>
      </c>
      <c r="H541" s="5">
        <f>IFERROR((tbl_raw[[#This Row],[Revenue]]-tbl_raw[[#This Row],[COGS]]) / tbl_raw[[#This Row],[Revenue]], 0)</f>
        <v>0.59724817391304352</v>
      </c>
      <c r="I541" s="5" t="str" cm="1">
        <f t="array" ref="I54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41" s="5">
        <f>_xlfn.XLOOKUP(tbl_raw[[#This Row],[Kategori]], tbl_target[Kategori], tbl_target[Target_Margin], 0)</f>
        <v>0.35</v>
      </c>
      <c r="K541" t="s">
        <v>48</v>
      </c>
      <c r="L541" t="s">
        <v>28</v>
      </c>
      <c r="M541">
        <v>13034573</v>
      </c>
    </row>
    <row r="542" spans="1:13" x14ac:dyDescent="0.3">
      <c r="A542" t="s">
        <v>397</v>
      </c>
      <c r="B542" t="s">
        <v>388</v>
      </c>
      <c r="C542" t="s">
        <v>12</v>
      </c>
      <c r="D542" t="s">
        <v>32</v>
      </c>
      <c r="E542">
        <v>6800000</v>
      </c>
      <c r="F542">
        <v>3256627</v>
      </c>
      <c r="G542">
        <v>3543373</v>
      </c>
      <c r="H542" s="5">
        <f>IFERROR((tbl_raw[[#This Row],[Revenue]]-tbl_raw[[#This Row],[COGS]]) / tbl_raw[[#This Row],[Revenue]], 0)</f>
        <v>0.52108426470588232</v>
      </c>
      <c r="I542" s="5" t="str" cm="1">
        <f t="array" ref="I54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42" s="5">
        <f>_xlfn.XLOOKUP(tbl_raw[[#This Row],[Kategori]], tbl_target[Kategori], tbl_target[Target_Margin], 0)</f>
        <v>0.25</v>
      </c>
      <c r="K542" t="s">
        <v>48</v>
      </c>
      <c r="L542" t="s">
        <v>31</v>
      </c>
      <c r="M542">
        <v>6725498</v>
      </c>
    </row>
    <row r="543" spans="1:13" x14ac:dyDescent="0.3">
      <c r="A543" t="s">
        <v>398</v>
      </c>
      <c r="B543" t="s">
        <v>388</v>
      </c>
      <c r="C543" t="s">
        <v>20</v>
      </c>
      <c r="D543" t="s">
        <v>21</v>
      </c>
      <c r="E543">
        <v>3700000</v>
      </c>
      <c r="F543">
        <v>2102808</v>
      </c>
      <c r="G543">
        <v>1597192</v>
      </c>
      <c r="H543" s="5">
        <f>IFERROR((tbl_raw[[#This Row],[Revenue]]-tbl_raw[[#This Row],[COGS]]) / tbl_raw[[#This Row],[Revenue]], 0)</f>
        <v>0.43167351351351352</v>
      </c>
      <c r="I543" s="5" t="str" cm="1">
        <f t="array" ref="I54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43" s="5">
        <f>_xlfn.XLOOKUP(tbl_raw[[#This Row],[Kategori]], tbl_target[Kategori], tbl_target[Target_Margin], 0)</f>
        <v>0.4</v>
      </c>
      <c r="K543" t="s">
        <v>36</v>
      </c>
      <c r="L543" t="s">
        <v>31</v>
      </c>
      <c r="M543">
        <v>3528006</v>
      </c>
    </row>
    <row r="544" spans="1:13" x14ac:dyDescent="0.3">
      <c r="A544" t="s">
        <v>398</v>
      </c>
      <c r="B544" t="s">
        <v>388</v>
      </c>
      <c r="C544" t="s">
        <v>20</v>
      </c>
      <c r="D544" t="s">
        <v>40</v>
      </c>
      <c r="E544">
        <v>10800000</v>
      </c>
      <c r="F544">
        <v>6179740</v>
      </c>
      <c r="G544">
        <v>4620260</v>
      </c>
      <c r="H544" s="5">
        <f>IFERROR((tbl_raw[[#This Row],[Revenue]]-tbl_raw[[#This Row],[COGS]]) / tbl_raw[[#This Row],[Revenue]], 0)</f>
        <v>0.42780185185185188</v>
      </c>
      <c r="I544" s="5" t="str" cm="1">
        <f t="array" ref="I54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44" s="5">
        <f>_xlfn.XLOOKUP(tbl_raw[[#This Row],[Kategori]], tbl_target[Kategori], tbl_target[Target_Margin], 0)</f>
        <v>0.4</v>
      </c>
      <c r="K544" t="s">
        <v>14</v>
      </c>
      <c r="L544" t="s">
        <v>19</v>
      </c>
      <c r="M544">
        <v>11159749</v>
      </c>
    </row>
    <row r="545" spans="1:13" x14ac:dyDescent="0.3">
      <c r="A545" t="s">
        <v>399</v>
      </c>
      <c r="B545" t="s">
        <v>388</v>
      </c>
      <c r="C545" t="s">
        <v>23</v>
      </c>
      <c r="D545" t="s">
        <v>27</v>
      </c>
      <c r="E545">
        <v>16400000</v>
      </c>
      <c r="F545">
        <v>5783779</v>
      </c>
      <c r="G545">
        <v>10616221</v>
      </c>
      <c r="H545" s="5">
        <f>IFERROR((tbl_raw[[#This Row],[Revenue]]-tbl_raw[[#This Row],[COGS]]) / tbl_raw[[#This Row],[Revenue]], 0)</f>
        <v>0.64733054878048779</v>
      </c>
      <c r="I545" s="5" t="str" cm="1">
        <f t="array" ref="I54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45" s="5">
        <f>_xlfn.XLOOKUP(tbl_raw[[#This Row],[Kategori]], tbl_target[Kategori], tbl_target[Target_Margin], 0)</f>
        <v>0.35</v>
      </c>
      <c r="K545" t="s">
        <v>18</v>
      </c>
      <c r="L545" t="s">
        <v>34</v>
      </c>
      <c r="M545">
        <v>17823951</v>
      </c>
    </row>
    <row r="546" spans="1:13" x14ac:dyDescent="0.3">
      <c r="A546" t="s">
        <v>400</v>
      </c>
      <c r="B546" t="s">
        <v>388</v>
      </c>
      <c r="C546" t="s">
        <v>23</v>
      </c>
      <c r="D546" t="s">
        <v>58</v>
      </c>
      <c r="E546">
        <v>7700000</v>
      </c>
      <c r="F546">
        <v>3208344</v>
      </c>
      <c r="G546">
        <v>4491656</v>
      </c>
      <c r="H546" s="5">
        <f>IFERROR((tbl_raw[[#This Row],[Revenue]]-tbl_raw[[#This Row],[COGS]]) / tbl_raw[[#This Row],[Revenue]], 0)</f>
        <v>0.5833319480519481</v>
      </c>
      <c r="I546" s="5" t="str" cm="1">
        <f t="array" ref="I54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46" s="5">
        <f>_xlfn.XLOOKUP(tbl_raw[[#This Row],[Kategori]], tbl_target[Kategori], tbl_target[Target_Margin], 0)</f>
        <v>0.35</v>
      </c>
      <c r="K546" t="s">
        <v>22</v>
      </c>
      <c r="L546" t="s">
        <v>19</v>
      </c>
      <c r="M546">
        <v>9676425</v>
      </c>
    </row>
    <row r="547" spans="1:13" x14ac:dyDescent="0.3">
      <c r="A547" t="s">
        <v>401</v>
      </c>
      <c r="B547" t="s">
        <v>388</v>
      </c>
      <c r="C547" t="s">
        <v>20</v>
      </c>
      <c r="D547" t="s">
        <v>40</v>
      </c>
      <c r="E547">
        <v>5400000</v>
      </c>
      <c r="F547">
        <v>2446636</v>
      </c>
      <c r="G547">
        <v>2953364</v>
      </c>
      <c r="H547" s="5">
        <f>IFERROR((tbl_raw[[#This Row],[Revenue]]-tbl_raw[[#This Row],[COGS]]) / tbl_raw[[#This Row],[Revenue]], 0)</f>
        <v>0.54691925925925922</v>
      </c>
      <c r="I547" s="5" t="str" cm="1">
        <f t="array" ref="I54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47" s="5">
        <f>_xlfn.XLOOKUP(tbl_raw[[#This Row],[Kategori]], tbl_target[Kategori], tbl_target[Target_Margin], 0)</f>
        <v>0.4</v>
      </c>
      <c r="K547" t="s">
        <v>14</v>
      </c>
      <c r="L547" t="s">
        <v>34</v>
      </c>
      <c r="M547">
        <v>6609342</v>
      </c>
    </row>
    <row r="548" spans="1:13" x14ac:dyDescent="0.3">
      <c r="A548" t="s">
        <v>402</v>
      </c>
      <c r="B548" t="s">
        <v>388</v>
      </c>
      <c r="C548" t="s">
        <v>23</v>
      </c>
      <c r="D548" t="s">
        <v>27</v>
      </c>
      <c r="E548">
        <v>14500000</v>
      </c>
      <c r="F548">
        <v>8570139</v>
      </c>
      <c r="G548">
        <v>5929861</v>
      </c>
      <c r="H548" s="5">
        <f>IFERROR((tbl_raw[[#This Row],[Revenue]]-tbl_raw[[#This Row],[COGS]]) / tbl_raw[[#This Row],[Revenue]], 0)</f>
        <v>0.40895593103448274</v>
      </c>
      <c r="I548" s="5" t="str" cm="1">
        <f t="array" ref="I54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48" s="5">
        <f>_xlfn.XLOOKUP(tbl_raw[[#This Row],[Kategori]], tbl_target[Kategori], tbl_target[Target_Margin], 0)</f>
        <v>0.35</v>
      </c>
      <c r="K548" t="s">
        <v>22</v>
      </c>
      <c r="L548" t="s">
        <v>34</v>
      </c>
      <c r="M548">
        <v>12011170</v>
      </c>
    </row>
    <row r="549" spans="1:13" x14ac:dyDescent="0.3">
      <c r="A549" t="s">
        <v>402</v>
      </c>
      <c r="B549" t="s">
        <v>388</v>
      </c>
      <c r="C549" t="s">
        <v>12</v>
      </c>
      <c r="D549" t="s">
        <v>32</v>
      </c>
      <c r="E549">
        <v>2200000</v>
      </c>
      <c r="F549">
        <v>1303975</v>
      </c>
      <c r="G549">
        <v>896025</v>
      </c>
      <c r="H549" s="5">
        <f>IFERROR((tbl_raw[[#This Row],[Revenue]]-tbl_raw[[#This Row],[COGS]]) / tbl_raw[[#This Row],[Revenue]], 0)</f>
        <v>0.4072840909090909</v>
      </c>
      <c r="I549" s="5" t="str" cm="1">
        <f t="array" ref="I54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49" s="5">
        <f>_xlfn.XLOOKUP(tbl_raw[[#This Row],[Kategori]], tbl_target[Kategori], tbl_target[Target_Margin], 0)</f>
        <v>0.25</v>
      </c>
      <c r="K549" t="s">
        <v>14</v>
      </c>
      <c r="L549" t="s">
        <v>34</v>
      </c>
      <c r="M549">
        <v>2481888</v>
      </c>
    </row>
    <row r="550" spans="1:13" x14ac:dyDescent="0.3">
      <c r="A550" t="s">
        <v>402</v>
      </c>
      <c r="B550" t="s">
        <v>388</v>
      </c>
      <c r="C550" t="s">
        <v>20</v>
      </c>
      <c r="D550" t="s">
        <v>40</v>
      </c>
      <c r="E550">
        <v>17900000</v>
      </c>
      <c r="F550">
        <v>7466615</v>
      </c>
      <c r="G550">
        <v>10433385</v>
      </c>
      <c r="H550" s="5">
        <f>IFERROR((tbl_raw[[#This Row],[Revenue]]-tbl_raw[[#This Row],[COGS]]) / tbl_raw[[#This Row],[Revenue]], 0)</f>
        <v>0.58287067039106144</v>
      </c>
      <c r="I550" s="5" t="str" cm="1">
        <f t="array" ref="I55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50" s="5">
        <f>_xlfn.XLOOKUP(tbl_raw[[#This Row],[Kategori]], tbl_target[Kategori], tbl_target[Target_Margin], 0)</f>
        <v>0.4</v>
      </c>
      <c r="K550" t="s">
        <v>14</v>
      </c>
      <c r="L550" t="s">
        <v>28</v>
      </c>
      <c r="M550">
        <v>18168151</v>
      </c>
    </row>
    <row r="551" spans="1:13" x14ac:dyDescent="0.3">
      <c r="A551" t="s">
        <v>402</v>
      </c>
      <c r="B551" t="s">
        <v>388</v>
      </c>
      <c r="C551" t="s">
        <v>20</v>
      </c>
      <c r="D551" t="s">
        <v>21</v>
      </c>
      <c r="E551">
        <v>11500000</v>
      </c>
      <c r="F551">
        <v>5455322</v>
      </c>
      <c r="G551">
        <v>6044678</v>
      </c>
      <c r="H551" s="5">
        <f>IFERROR((tbl_raw[[#This Row],[Revenue]]-tbl_raw[[#This Row],[COGS]]) / tbl_raw[[#This Row],[Revenue]], 0)</f>
        <v>0.5256241739130435</v>
      </c>
      <c r="I551" s="5" t="str" cm="1">
        <f t="array" ref="I55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51" s="5">
        <f>_xlfn.XLOOKUP(tbl_raw[[#This Row],[Kategori]], tbl_target[Kategori], tbl_target[Target_Margin], 0)</f>
        <v>0.4</v>
      </c>
      <c r="K551" t="s">
        <v>36</v>
      </c>
      <c r="L551" t="s">
        <v>28</v>
      </c>
      <c r="M551">
        <v>9487513</v>
      </c>
    </row>
    <row r="552" spans="1:13" x14ac:dyDescent="0.3">
      <c r="A552" t="s">
        <v>403</v>
      </c>
      <c r="B552" t="s">
        <v>388</v>
      </c>
      <c r="C552" t="s">
        <v>20</v>
      </c>
      <c r="D552" t="s">
        <v>40</v>
      </c>
      <c r="E552">
        <v>8700000</v>
      </c>
      <c r="F552">
        <v>4656032</v>
      </c>
      <c r="G552">
        <v>4043968</v>
      </c>
      <c r="H552" s="5">
        <f>IFERROR((tbl_raw[[#This Row],[Revenue]]-tbl_raw[[#This Row],[COGS]]) / tbl_raw[[#This Row],[Revenue]], 0)</f>
        <v>0.46482390804597701</v>
      </c>
      <c r="I552" s="5" t="str" cm="1">
        <f t="array" ref="I55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52" s="5">
        <f>_xlfn.XLOOKUP(tbl_raw[[#This Row],[Kategori]], tbl_target[Kategori], tbl_target[Target_Margin], 0)</f>
        <v>0.4</v>
      </c>
      <c r="K552" t="s">
        <v>48</v>
      </c>
      <c r="L552" t="s">
        <v>41</v>
      </c>
      <c r="M552">
        <v>10236938</v>
      </c>
    </row>
    <row r="553" spans="1:13" x14ac:dyDescent="0.3">
      <c r="A553" t="s">
        <v>403</v>
      </c>
      <c r="B553" t="s">
        <v>388</v>
      </c>
      <c r="C553" t="s">
        <v>12</v>
      </c>
      <c r="D553" t="s">
        <v>17</v>
      </c>
      <c r="E553">
        <v>10600000</v>
      </c>
      <c r="F553">
        <v>5406634</v>
      </c>
      <c r="G553">
        <v>5193366</v>
      </c>
      <c r="H553" s="5">
        <f>IFERROR((tbl_raw[[#This Row],[Revenue]]-tbl_raw[[#This Row],[COGS]]) / tbl_raw[[#This Row],[Revenue]], 0)</f>
        <v>0.48994018867924527</v>
      </c>
      <c r="I553" s="5" t="str" cm="1">
        <f t="array" ref="I55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53" s="5">
        <f>_xlfn.XLOOKUP(tbl_raw[[#This Row],[Kategori]], tbl_target[Kategori], tbl_target[Target_Margin], 0)</f>
        <v>0.25</v>
      </c>
      <c r="K553" t="s">
        <v>36</v>
      </c>
      <c r="L553" t="s">
        <v>49</v>
      </c>
      <c r="M553">
        <v>10903061</v>
      </c>
    </row>
    <row r="554" spans="1:13" x14ac:dyDescent="0.3">
      <c r="A554" t="s">
        <v>404</v>
      </c>
      <c r="B554" t="s">
        <v>388</v>
      </c>
      <c r="C554" t="s">
        <v>20</v>
      </c>
      <c r="D554" t="s">
        <v>30</v>
      </c>
      <c r="E554">
        <v>10600000</v>
      </c>
      <c r="F554">
        <v>5348948</v>
      </c>
      <c r="G554">
        <v>5251052</v>
      </c>
      <c r="H554" s="5">
        <f>IFERROR((tbl_raw[[#This Row],[Revenue]]-tbl_raw[[#This Row],[COGS]]) / tbl_raw[[#This Row],[Revenue]], 0)</f>
        <v>0.49538226415094339</v>
      </c>
      <c r="I554" s="5" t="str" cm="1">
        <f t="array" ref="I55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54" s="5">
        <f>_xlfn.XLOOKUP(tbl_raw[[#This Row],[Kategori]], tbl_target[Kategori], tbl_target[Target_Margin], 0)</f>
        <v>0.4</v>
      </c>
      <c r="K554" t="s">
        <v>22</v>
      </c>
      <c r="L554" t="s">
        <v>31</v>
      </c>
      <c r="M554">
        <v>8882457</v>
      </c>
    </row>
    <row r="555" spans="1:13" x14ac:dyDescent="0.3">
      <c r="A555" t="s">
        <v>405</v>
      </c>
      <c r="B555" t="s">
        <v>388</v>
      </c>
      <c r="C555" t="s">
        <v>20</v>
      </c>
      <c r="D555" t="s">
        <v>21</v>
      </c>
      <c r="E555">
        <v>5000000</v>
      </c>
      <c r="F555">
        <v>2431329</v>
      </c>
      <c r="G555">
        <v>2568671</v>
      </c>
      <c r="H555" s="5">
        <f>IFERROR((tbl_raw[[#This Row],[Revenue]]-tbl_raw[[#This Row],[COGS]]) / tbl_raw[[#This Row],[Revenue]], 0)</f>
        <v>0.51373420000000003</v>
      </c>
      <c r="I555" s="5" t="str" cm="1">
        <f t="array" ref="I55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55" s="5">
        <f>_xlfn.XLOOKUP(tbl_raw[[#This Row],[Kategori]], tbl_target[Kategori], tbl_target[Target_Margin], 0)</f>
        <v>0.4</v>
      </c>
      <c r="K555" t="s">
        <v>36</v>
      </c>
      <c r="L555" t="s">
        <v>31</v>
      </c>
      <c r="M555">
        <v>4500642</v>
      </c>
    </row>
    <row r="556" spans="1:13" x14ac:dyDescent="0.3">
      <c r="A556" t="s">
        <v>405</v>
      </c>
      <c r="B556" t="s">
        <v>388</v>
      </c>
      <c r="C556" t="s">
        <v>23</v>
      </c>
      <c r="D556" t="s">
        <v>58</v>
      </c>
      <c r="E556">
        <v>5500000</v>
      </c>
      <c r="F556">
        <v>3299668</v>
      </c>
      <c r="G556">
        <v>2200332</v>
      </c>
      <c r="H556" s="5">
        <f>IFERROR((tbl_raw[[#This Row],[Revenue]]-tbl_raw[[#This Row],[COGS]]) / tbl_raw[[#This Row],[Revenue]], 0)</f>
        <v>0.40006036363636366</v>
      </c>
      <c r="I556" s="5" t="str" cm="1">
        <f t="array" ref="I55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56" s="5">
        <f>_xlfn.XLOOKUP(tbl_raw[[#This Row],[Kategori]], tbl_target[Kategori], tbl_target[Target_Margin], 0)</f>
        <v>0.35</v>
      </c>
      <c r="K556" t="s">
        <v>48</v>
      </c>
      <c r="L556" t="s">
        <v>34</v>
      </c>
      <c r="M556">
        <v>6610046</v>
      </c>
    </row>
    <row r="557" spans="1:13" x14ac:dyDescent="0.3">
      <c r="A557" t="s">
        <v>406</v>
      </c>
      <c r="B557" t="s">
        <v>388</v>
      </c>
      <c r="C557" t="s">
        <v>12</v>
      </c>
      <c r="D557" t="s">
        <v>32</v>
      </c>
      <c r="E557">
        <v>3000000</v>
      </c>
      <c r="F557">
        <v>1554008</v>
      </c>
      <c r="G557">
        <v>1445992</v>
      </c>
      <c r="H557" s="5">
        <f>IFERROR((tbl_raw[[#This Row],[Revenue]]-tbl_raw[[#This Row],[COGS]]) / tbl_raw[[#This Row],[Revenue]], 0)</f>
        <v>0.48199733333333333</v>
      </c>
      <c r="I557" s="5" t="str" cm="1">
        <f t="array" ref="I55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57" s="5">
        <f>_xlfn.XLOOKUP(tbl_raw[[#This Row],[Kategori]], tbl_target[Kategori], tbl_target[Target_Margin], 0)</f>
        <v>0.25</v>
      </c>
      <c r="K557" t="s">
        <v>48</v>
      </c>
      <c r="L557" t="s">
        <v>25</v>
      </c>
      <c r="M557">
        <v>3428506</v>
      </c>
    </row>
    <row r="558" spans="1:13" x14ac:dyDescent="0.3">
      <c r="A558" t="s">
        <v>407</v>
      </c>
      <c r="B558" t="s">
        <v>388</v>
      </c>
      <c r="C558" t="s">
        <v>20</v>
      </c>
      <c r="D558" t="s">
        <v>40</v>
      </c>
      <c r="E558">
        <v>16600000</v>
      </c>
      <c r="F558">
        <v>8700217</v>
      </c>
      <c r="G558">
        <v>7899783</v>
      </c>
      <c r="H558" s="5">
        <f>IFERROR((tbl_raw[[#This Row],[Revenue]]-tbl_raw[[#This Row],[COGS]]) / tbl_raw[[#This Row],[Revenue]], 0)</f>
        <v>0.47589054216867471</v>
      </c>
      <c r="I558" s="5" t="str" cm="1">
        <f t="array" ref="I55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58" s="5">
        <f>_xlfn.XLOOKUP(tbl_raw[[#This Row],[Kategori]], tbl_target[Kategori], tbl_target[Target_Margin], 0)</f>
        <v>0.4</v>
      </c>
      <c r="K558" t="s">
        <v>18</v>
      </c>
      <c r="L558" t="s">
        <v>25</v>
      </c>
      <c r="M558">
        <v>18045601</v>
      </c>
    </row>
    <row r="559" spans="1:13" x14ac:dyDescent="0.3">
      <c r="A559" t="s">
        <v>408</v>
      </c>
      <c r="B559" t="s">
        <v>409</v>
      </c>
      <c r="C559" t="s">
        <v>12</v>
      </c>
      <c r="D559" t="s">
        <v>17</v>
      </c>
      <c r="E559">
        <v>900000</v>
      </c>
      <c r="F559">
        <v>415592</v>
      </c>
      <c r="G559">
        <v>484408</v>
      </c>
      <c r="H559" s="5">
        <f>IFERROR((tbl_raw[[#This Row],[Revenue]]-tbl_raw[[#This Row],[COGS]]) / tbl_raw[[#This Row],[Revenue]], 0)</f>
        <v>0.5382311111111111</v>
      </c>
      <c r="I559" s="5" t="str" cm="1">
        <f t="array" ref="I55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59" s="5">
        <f>_xlfn.XLOOKUP(tbl_raw[[#This Row],[Kategori]], tbl_target[Kategori], tbl_target[Target_Margin], 0)</f>
        <v>0.25</v>
      </c>
      <c r="K559" t="s">
        <v>48</v>
      </c>
      <c r="L559" t="s">
        <v>19</v>
      </c>
      <c r="M559">
        <v>907650</v>
      </c>
    </row>
    <row r="560" spans="1:13" x14ac:dyDescent="0.3">
      <c r="A560" t="s">
        <v>410</v>
      </c>
      <c r="B560" t="s">
        <v>409</v>
      </c>
      <c r="C560" t="s">
        <v>20</v>
      </c>
      <c r="D560" t="s">
        <v>30</v>
      </c>
      <c r="E560">
        <v>13500000</v>
      </c>
      <c r="F560">
        <v>4913524</v>
      </c>
      <c r="G560">
        <v>8586476</v>
      </c>
      <c r="H560" s="5">
        <f>IFERROR((tbl_raw[[#This Row],[Revenue]]-tbl_raw[[#This Row],[COGS]]) / tbl_raw[[#This Row],[Revenue]], 0)</f>
        <v>0.6360352592592593</v>
      </c>
      <c r="I560" s="5" t="str" cm="1">
        <f t="array" ref="I56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60" s="5">
        <f>_xlfn.XLOOKUP(tbl_raw[[#This Row],[Kategori]], tbl_target[Kategori], tbl_target[Target_Margin], 0)</f>
        <v>0.4</v>
      </c>
      <c r="K560" t="s">
        <v>48</v>
      </c>
      <c r="L560" t="s">
        <v>41</v>
      </c>
      <c r="M560">
        <v>15641574</v>
      </c>
    </row>
    <row r="561" spans="1:13" x14ac:dyDescent="0.3">
      <c r="A561" t="s">
        <v>410</v>
      </c>
      <c r="B561" t="s">
        <v>409</v>
      </c>
      <c r="C561" t="s">
        <v>23</v>
      </c>
      <c r="D561" t="s">
        <v>27</v>
      </c>
      <c r="E561">
        <v>16500000</v>
      </c>
      <c r="F561">
        <v>8882831</v>
      </c>
      <c r="G561">
        <v>7617169</v>
      </c>
      <c r="H561" s="5">
        <f>IFERROR((tbl_raw[[#This Row],[Revenue]]-tbl_raw[[#This Row],[COGS]]) / tbl_raw[[#This Row],[Revenue]], 0)</f>
        <v>0.46164660606060604</v>
      </c>
      <c r="I561" s="5" t="str" cm="1">
        <f t="array" ref="I56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61" s="5">
        <f>_xlfn.XLOOKUP(tbl_raw[[#This Row],[Kategori]], tbl_target[Kategori], tbl_target[Target_Margin], 0)</f>
        <v>0.35</v>
      </c>
      <c r="K561" t="s">
        <v>18</v>
      </c>
      <c r="L561" t="s">
        <v>25</v>
      </c>
      <c r="M561">
        <v>20128110</v>
      </c>
    </row>
    <row r="562" spans="1:13" x14ac:dyDescent="0.3">
      <c r="A562" t="s">
        <v>411</v>
      </c>
      <c r="B562" t="s">
        <v>409</v>
      </c>
      <c r="C562" t="s">
        <v>12</v>
      </c>
      <c r="D562" t="s">
        <v>17</v>
      </c>
      <c r="E562">
        <v>13500000</v>
      </c>
      <c r="F562">
        <v>4805367</v>
      </c>
      <c r="G562">
        <v>8694633</v>
      </c>
      <c r="H562" s="5">
        <f>IFERROR((tbl_raw[[#This Row],[Revenue]]-tbl_raw[[#This Row],[COGS]]) / tbl_raw[[#This Row],[Revenue]], 0)</f>
        <v>0.64404688888888884</v>
      </c>
      <c r="I562" s="5" t="str" cm="1">
        <f t="array" ref="I56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62" s="5">
        <f>_xlfn.XLOOKUP(tbl_raw[[#This Row],[Kategori]], tbl_target[Kategori], tbl_target[Target_Margin], 0)</f>
        <v>0.25</v>
      </c>
      <c r="K562" t="s">
        <v>48</v>
      </c>
      <c r="L562" t="s">
        <v>19</v>
      </c>
      <c r="M562">
        <v>10883432</v>
      </c>
    </row>
    <row r="563" spans="1:13" x14ac:dyDescent="0.3">
      <c r="A563" t="s">
        <v>411</v>
      </c>
      <c r="B563" t="s">
        <v>409</v>
      </c>
      <c r="C563" t="s">
        <v>20</v>
      </c>
      <c r="D563" t="s">
        <v>30</v>
      </c>
      <c r="E563">
        <v>600000</v>
      </c>
      <c r="F563">
        <v>340376</v>
      </c>
      <c r="G563">
        <v>259624</v>
      </c>
      <c r="H563" s="5">
        <f>IFERROR((tbl_raw[[#This Row],[Revenue]]-tbl_raw[[#This Row],[COGS]]) / tbl_raw[[#This Row],[Revenue]], 0)</f>
        <v>0.43270666666666668</v>
      </c>
      <c r="I563" s="5" t="str" cm="1">
        <f t="array" ref="I56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63" s="5">
        <f>_xlfn.XLOOKUP(tbl_raw[[#This Row],[Kategori]], tbl_target[Kategori], tbl_target[Target_Margin], 0)</f>
        <v>0.4</v>
      </c>
      <c r="K563" t="s">
        <v>18</v>
      </c>
      <c r="L563" t="s">
        <v>34</v>
      </c>
      <c r="M563">
        <v>529253</v>
      </c>
    </row>
    <row r="564" spans="1:13" x14ac:dyDescent="0.3">
      <c r="A564" t="s">
        <v>412</v>
      </c>
      <c r="B564" t="s">
        <v>409</v>
      </c>
      <c r="C564" t="s">
        <v>12</v>
      </c>
      <c r="D564" t="s">
        <v>17</v>
      </c>
      <c r="E564">
        <v>12800000</v>
      </c>
      <c r="F564">
        <v>5098941</v>
      </c>
      <c r="G564">
        <v>7701059</v>
      </c>
      <c r="H564" s="5">
        <f>IFERROR((tbl_raw[[#This Row],[Revenue]]-tbl_raw[[#This Row],[COGS]]) / tbl_raw[[#This Row],[Revenue]], 0)</f>
        <v>0.60164523437499995</v>
      </c>
      <c r="I564" s="5" t="str" cm="1">
        <f t="array" ref="I56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64" s="5">
        <f>_xlfn.XLOOKUP(tbl_raw[[#This Row],[Kategori]], tbl_target[Kategori], tbl_target[Target_Margin], 0)</f>
        <v>0.25</v>
      </c>
      <c r="K564" t="s">
        <v>18</v>
      </c>
      <c r="L564" t="s">
        <v>34</v>
      </c>
      <c r="M564">
        <v>10934183</v>
      </c>
    </row>
    <row r="565" spans="1:13" x14ac:dyDescent="0.3">
      <c r="A565" t="s">
        <v>413</v>
      </c>
      <c r="B565" t="s">
        <v>409</v>
      </c>
      <c r="C565" t="s">
        <v>20</v>
      </c>
      <c r="D565" t="s">
        <v>21</v>
      </c>
      <c r="E565">
        <v>4100000</v>
      </c>
      <c r="F565">
        <v>2220457</v>
      </c>
      <c r="G565">
        <v>1879543</v>
      </c>
      <c r="H565" s="5">
        <f>IFERROR((tbl_raw[[#This Row],[Revenue]]-tbl_raw[[#This Row],[COGS]]) / tbl_raw[[#This Row],[Revenue]], 0)</f>
        <v>0.45842512195121954</v>
      </c>
      <c r="I565" s="5" t="str" cm="1">
        <f t="array" ref="I56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65" s="5">
        <f>_xlfn.XLOOKUP(tbl_raw[[#This Row],[Kategori]], tbl_target[Kategori], tbl_target[Target_Margin], 0)</f>
        <v>0.4</v>
      </c>
      <c r="K565" t="s">
        <v>14</v>
      </c>
      <c r="L565" t="s">
        <v>19</v>
      </c>
      <c r="M565">
        <v>5289366</v>
      </c>
    </row>
    <row r="566" spans="1:13" x14ac:dyDescent="0.3">
      <c r="A566" t="s">
        <v>414</v>
      </c>
      <c r="B566" t="s">
        <v>409</v>
      </c>
      <c r="C566" t="s">
        <v>23</v>
      </c>
      <c r="D566" t="s">
        <v>58</v>
      </c>
      <c r="E566">
        <v>15000000</v>
      </c>
      <c r="F566">
        <v>6742239</v>
      </c>
      <c r="G566">
        <v>8257761</v>
      </c>
      <c r="H566" s="5">
        <f>IFERROR((tbl_raw[[#This Row],[Revenue]]-tbl_raw[[#This Row],[COGS]]) / tbl_raw[[#This Row],[Revenue]], 0)</f>
        <v>0.55051740000000005</v>
      </c>
      <c r="I566" s="5" t="str" cm="1">
        <f t="array" ref="I56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66" s="5">
        <f>_xlfn.XLOOKUP(tbl_raw[[#This Row],[Kategori]], tbl_target[Kategori], tbl_target[Target_Margin], 0)</f>
        <v>0.35</v>
      </c>
      <c r="K566" t="s">
        <v>14</v>
      </c>
      <c r="L566" t="s">
        <v>49</v>
      </c>
      <c r="M566">
        <v>15425442</v>
      </c>
    </row>
    <row r="567" spans="1:13" x14ac:dyDescent="0.3">
      <c r="A567" t="s">
        <v>414</v>
      </c>
      <c r="B567" t="s">
        <v>409</v>
      </c>
      <c r="C567" t="s">
        <v>12</v>
      </c>
      <c r="D567" t="s">
        <v>13</v>
      </c>
      <c r="E567">
        <v>10000000</v>
      </c>
      <c r="F567">
        <v>4594169</v>
      </c>
      <c r="G567">
        <v>5405831</v>
      </c>
      <c r="H567" s="5">
        <f>IFERROR((tbl_raw[[#This Row],[Revenue]]-tbl_raw[[#This Row],[COGS]]) / tbl_raw[[#This Row],[Revenue]], 0)</f>
        <v>0.54058309999999998</v>
      </c>
      <c r="I567" s="5" t="str" cm="1">
        <f t="array" ref="I56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67" s="5">
        <f>_xlfn.XLOOKUP(tbl_raw[[#This Row],[Kategori]], tbl_target[Kategori], tbl_target[Target_Margin], 0)</f>
        <v>0.25</v>
      </c>
      <c r="K567" t="s">
        <v>48</v>
      </c>
      <c r="L567" t="s">
        <v>49</v>
      </c>
      <c r="M567">
        <v>8057670</v>
      </c>
    </row>
    <row r="568" spans="1:13" x14ac:dyDescent="0.3">
      <c r="A568" t="s">
        <v>415</v>
      </c>
      <c r="B568" t="s">
        <v>409</v>
      </c>
      <c r="C568" t="s">
        <v>12</v>
      </c>
      <c r="D568" t="s">
        <v>32</v>
      </c>
      <c r="E568">
        <v>10900000</v>
      </c>
      <c r="F568">
        <v>5532711</v>
      </c>
      <c r="G568">
        <v>5367289</v>
      </c>
      <c r="H568" s="5">
        <f>IFERROR((tbl_raw[[#This Row],[Revenue]]-tbl_raw[[#This Row],[COGS]]) / tbl_raw[[#This Row],[Revenue]], 0)</f>
        <v>0.49241183486238532</v>
      </c>
      <c r="I568" s="5" t="str" cm="1">
        <f t="array" ref="I56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68" s="5">
        <f>_xlfn.XLOOKUP(tbl_raw[[#This Row],[Kategori]], tbl_target[Kategori], tbl_target[Target_Margin], 0)</f>
        <v>0.25</v>
      </c>
      <c r="K568" t="s">
        <v>48</v>
      </c>
      <c r="L568" t="s">
        <v>49</v>
      </c>
      <c r="M568">
        <v>13752864</v>
      </c>
    </row>
    <row r="569" spans="1:13" x14ac:dyDescent="0.3">
      <c r="A569" t="s">
        <v>416</v>
      </c>
      <c r="B569" t="s">
        <v>409</v>
      </c>
      <c r="C569" t="s">
        <v>20</v>
      </c>
      <c r="D569" t="s">
        <v>40</v>
      </c>
      <c r="E569">
        <v>10400000</v>
      </c>
      <c r="F569">
        <v>5732776</v>
      </c>
      <c r="G569">
        <v>4667224</v>
      </c>
      <c r="H569" s="5">
        <f>IFERROR((tbl_raw[[#This Row],[Revenue]]-tbl_raw[[#This Row],[COGS]]) / tbl_raw[[#This Row],[Revenue]], 0)</f>
        <v>0.44877153846153844</v>
      </c>
      <c r="I569" s="5" t="str" cm="1">
        <f t="array" ref="I56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69" s="5">
        <f>_xlfn.XLOOKUP(tbl_raw[[#This Row],[Kategori]], tbl_target[Kategori], tbl_target[Target_Margin], 0)</f>
        <v>0.4</v>
      </c>
      <c r="K569" t="s">
        <v>36</v>
      </c>
      <c r="L569" t="s">
        <v>15</v>
      </c>
      <c r="M569">
        <v>10302711</v>
      </c>
    </row>
    <row r="570" spans="1:13" x14ac:dyDescent="0.3">
      <c r="A570" t="s">
        <v>417</v>
      </c>
      <c r="B570" t="s">
        <v>409</v>
      </c>
      <c r="C570" t="s">
        <v>12</v>
      </c>
      <c r="D570" t="s">
        <v>13</v>
      </c>
      <c r="E570">
        <v>10900000</v>
      </c>
      <c r="F570">
        <v>5689257</v>
      </c>
      <c r="G570">
        <v>5210743</v>
      </c>
      <c r="H570" s="5">
        <f>IFERROR((tbl_raw[[#This Row],[Revenue]]-tbl_raw[[#This Row],[COGS]]) / tbl_raw[[#This Row],[Revenue]], 0)</f>
        <v>0.47804981651376149</v>
      </c>
      <c r="I570" s="5" t="str" cm="1">
        <f t="array" ref="I57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70" s="5">
        <f>_xlfn.XLOOKUP(tbl_raw[[#This Row],[Kategori]], tbl_target[Kategori], tbl_target[Target_Margin], 0)</f>
        <v>0.25</v>
      </c>
      <c r="K570" t="s">
        <v>48</v>
      </c>
      <c r="L570" t="s">
        <v>41</v>
      </c>
      <c r="M570">
        <v>14104330</v>
      </c>
    </row>
    <row r="571" spans="1:13" x14ac:dyDescent="0.3">
      <c r="A571" t="s">
        <v>417</v>
      </c>
      <c r="B571" t="s">
        <v>409</v>
      </c>
      <c r="C571" t="s">
        <v>20</v>
      </c>
      <c r="D571" t="s">
        <v>40</v>
      </c>
      <c r="E571">
        <v>19400000</v>
      </c>
      <c r="F571">
        <v>8393409</v>
      </c>
      <c r="G571">
        <v>11006591</v>
      </c>
      <c r="H571" s="5">
        <f>IFERROR((tbl_raw[[#This Row],[Revenue]]-tbl_raw[[#This Row],[COGS]]) / tbl_raw[[#This Row],[Revenue]], 0)</f>
        <v>0.56735005154639173</v>
      </c>
      <c r="I571" s="5" t="str" cm="1">
        <f t="array" ref="I57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71" s="5">
        <f>_xlfn.XLOOKUP(tbl_raw[[#This Row],[Kategori]], tbl_target[Kategori], tbl_target[Target_Margin], 0)</f>
        <v>0.4</v>
      </c>
      <c r="K571" t="s">
        <v>14</v>
      </c>
      <c r="L571" t="s">
        <v>15</v>
      </c>
      <c r="M571">
        <v>21969932</v>
      </c>
    </row>
    <row r="572" spans="1:13" x14ac:dyDescent="0.3">
      <c r="A572" t="s">
        <v>418</v>
      </c>
      <c r="B572" t="s">
        <v>409</v>
      </c>
      <c r="C572" t="s">
        <v>12</v>
      </c>
      <c r="D572" t="s">
        <v>13</v>
      </c>
      <c r="E572">
        <v>5400000</v>
      </c>
      <c r="F572">
        <v>3107505</v>
      </c>
      <c r="G572">
        <v>2292495</v>
      </c>
      <c r="H572" s="5">
        <f>IFERROR((tbl_raw[[#This Row],[Revenue]]-tbl_raw[[#This Row],[COGS]]) / tbl_raw[[#This Row],[Revenue]], 0)</f>
        <v>0.42453611111111111</v>
      </c>
      <c r="I572" s="5" t="str" cm="1">
        <f t="array" ref="I57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72" s="5">
        <f>_xlfn.XLOOKUP(tbl_raw[[#This Row],[Kategori]], tbl_target[Kategori], tbl_target[Target_Margin], 0)</f>
        <v>0.25</v>
      </c>
      <c r="K572" t="s">
        <v>14</v>
      </c>
      <c r="L572" t="s">
        <v>25</v>
      </c>
      <c r="M572">
        <v>6926779</v>
      </c>
    </row>
    <row r="573" spans="1:13" x14ac:dyDescent="0.3">
      <c r="A573" t="s">
        <v>419</v>
      </c>
      <c r="B573" t="s">
        <v>409</v>
      </c>
      <c r="C573" t="s">
        <v>12</v>
      </c>
      <c r="D573" t="s">
        <v>17</v>
      </c>
      <c r="E573">
        <v>4100000</v>
      </c>
      <c r="F573">
        <v>2320725</v>
      </c>
      <c r="G573">
        <v>1779275</v>
      </c>
      <c r="H573" s="5">
        <f>IFERROR((tbl_raw[[#This Row],[Revenue]]-tbl_raw[[#This Row],[COGS]]) / tbl_raw[[#This Row],[Revenue]], 0)</f>
        <v>0.43396951219512198</v>
      </c>
      <c r="I573" s="5" t="str" cm="1">
        <f t="array" ref="I57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73" s="5">
        <f>_xlfn.XLOOKUP(tbl_raw[[#This Row],[Kategori]], tbl_target[Kategori], tbl_target[Target_Margin], 0)</f>
        <v>0.25</v>
      </c>
      <c r="K573" t="s">
        <v>22</v>
      </c>
      <c r="L573" t="s">
        <v>31</v>
      </c>
      <c r="M573">
        <v>3882733</v>
      </c>
    </row>
    <row r="574" spans="1:13" x14ac:dyDescent="0.3">
      <c r="A574" t="s">
        <v>420</v>
      </c>
      <c r="B574" t="s">
        <v>409</v>
      </c>
      <c r="C574" t="s">
        <v>23</v>
      </c>
      <c r="D574" t="s">
        <v>24</v>
      </c>
      <c r="E574">
        <v>10900000</v>
      </c>
      <c r="F574">
        <v>4564966</v>
      </c>
      <c r="G574">
        <v>6335034</v>
      </c>
      <c r="H574" s="5">
        <f>IFERROR((tbl_raw[[#This Row],[Revenue]]-tbl_raw[[#This Row],[COGS]]) / tbl_raw[[#This Row],[Revenue]], 0)</f>
        <v>0.58119577981651371</v>
      </c>
      <c r="I574" s="5" t="str" cm="1">
        <f t="array" ref="I57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74" s="5">
        <f>_xlfn.XLOOKUP(tbl_raw[[#This Row],[Kategori]], tbl_target[Kategori], tbl_target[Target_Margin], 0)</f>
        <v>0.35</v>
      </c>
      <c r="K574" t="s">
        <v>22</v>
      </c>
      <c r="L574" t="s">
        <v>25</v>
      </c>
      <c r="M574">
        <v>11699579</v>
      </c>
    </row>
    <row r="575" spans="1:13" x14ac:dyDescent="0.3">
      <c r="A575" t="s">
        <v>421</v>
      </c>
      <c r="B575" t="s">
        <v>409</v>
      </c>
      <c r="C575" t="s">
        <v>23</v>
      </c>
      <c r="D575" t="s">
        <v>24</v>
      </c>
      <c r="E575">
        <v>17400000</v>
      </c>
      <c r="F575">
        <v>8492762</v>
      </c>
      <c r="G575">
        <v>8907238</v>
      </c>
      <c r="H575" s="5">
        <f>IFERROR((tbl_raw[[#This Row],[Revenue]]-tbl_raw[[#This Row],[COGS]]) / tbl_raw[[#This Row],[Revenue]], 0)</f>
        <v>0.51191022988505752</v>
      </c>
      <c r="I575" s="5" t="str" cm="1">
        <f t="array" ref="I57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75" s="5">
        <f>_xlfn.XLOOKUP(tbl_raw[[#This Row],[Kategori]], tbl_target[Kategori], tbl_target[Target_Margin], 0)</f>
        <v>0.35</v>
      </c>
      <c r="K575" t="s">
        <v>48</v>
      </c>
      <c r="L575" t="s">
        <v>34</v>
      </c>
      <c r="M575">
        <v>20703170</v>
      </c>
    </row>
    <row r="576" spans="1:13" x14ac:dyDescent="0.3">
      <c r="A576" t="s">
        <v>422</v>
      </c>
      <c r="B576" t="s">
        <v>409</v>
      </c>
      <c r="C576" t="s">
        <v>23</v>
      </c>
      <c r="D576" t="s">
        <v>27</v>
      </c>
      <c r="E576">
        <v>16200000</v>
      </c>
      <c r="F576">
        <v>5670863</v>
      </c>
      <c r="G576">
        <v>10529137</v>
      </c>
      <c r="H576" s="5">
        <f>IFERROR((tbl_raw[[#This Row],[Revenue]]-tbl_raw[[#This Row],[COGS]]) / tbl_raw[[#This Row],[Revenue]], 0)</f>
        <v>0.64994672839506173</v>
      </c>
      <c r="I576" s="5" t="str" cm="1">
        <f t="array" ref="I57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76" s="5">
        <f>_xlfn.XLOOKUP(tbl_raw[[#This Row],[Kategori]], tbl_target[Kategori], tbl_target[Target_Margin], 0)</f>
        <v>0.35</v>
      </c>
      <c r="K576" t="s">
        <v>48</v>
      </c>
      <c r="L576" t="s">
        <v>34</v>
      </c>
      <c r="M576">
        <v>20432664</v>
      </c>
    </row>
    <row r="577" spans="1:13" x14ac:dyDescent="0.3">
      <c r="A577" t="s">
        <v>422</v>
      </c>
      <c r="B577" t="s">
        <v>409</v>
      </c>
      <c r="C577" t="s">
        <v>23</v>
      </c>
      <c r="D577" t="s">
        <v>27</v>
      </c>
      <c r="E577">
        <v>1700000</v>
      </c>
      <c r="F577">
        <v>712518</v>
      </c>
      <c r="G577">
        <v>987482</v>
      </c>
      <c r="H577" s="5">
        <f>IFERROR((tbl_raw[[#This Row],[Revenue]]-tbl_raw[[#This Row],[COGS]]) / tbl_raw[[#This Row],[Revenue]], 0)</f>
        <v>0.58087176470588231</v>
      </c>
      <c r="I577" s="5" t="str" cm="1">
        <f t="array" ref="I57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77" s="5">
        <f>_xlfn.XLOOKUP(tbl_raw[[#This Row],[Kategori]], tbl_target[Kategori], tbl_target[Target_Margin], 0)</f>
        <v>0.35</v>
      </c>
      <c r="K577" t="s">
        <v>14</v>
      </c>
      <c r="L577" t="s">
        <v>31</v>
      </c>
      <c r="M577">
        <v>2075247</v>
      </c>
    </row>
    <row r="578" spans="1:13" x14ac:dyDescent="0.3">
      <c r="A578" t="s">
        <v>422</v>
      </c>
      <c r="B578" t="s">
        <v>409</v>
      </c>
      <c r="C578" t="s">
        <v>23</v>
      </c>
      <c r="D578" t="s">
        <v>58</v>
      </c>
      <c r="E578">
        <v>19800000</v>
      </c>
      <c r="F578">
        <v>9889359</v>
      </c>
      <c r="G578">
        <v>9910641</v>
      </c>
      <c r="H578" s="5">
        <f>IFERROR((tbl_raw[[#This Row],[Revenue]]-tbl_raw[[#This Row],[COGS]]) / tbl_raw[[#This Row],[Revenue]], 0)</f>
        <v>0.5005374242424242</v>
      </c>
      <c r="I578" s="5" t="str" cm="1">
        <f t="array" ref="I57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78" s="5">
        <f>_xlfn.XLOOKUP(tbl_raw[[#This Row],[Kategori]], tbl_target[Kategori], tbl_target[Target_Margin], 0)</f>
        <v>0.35</v>
      </c>
      <c r="K578" t="s">
        <v>36</v>
      </c>
      <c r="L578" t="s">
        <v>34</v>
      </c>
      <c r="M578">
        <v>21510595</v>
      </c>
    </row>
    <row r="579" spans="1:13" x14ac:dyDescent="0.3">
      <c r="A579" t="s">
        <v>422</v>
      </c>
      <c r="B579" t="s">
        <v>409</v>
      </c>
      <c r="C579" t="s">
        <v>12</v>
      </c>
      <c r="D579" t="s">
        <v>13</v>
      </c>
      <c r="E579">
        <v>11000000</v>
      </c>
      <c r="F579">
        <v>5574188</v>
      </c>
      <c r="G579">
        <v>5425812</v>
      </c>
      <c r="H579" s="5">
        <f>IFERROR((tbl_raw[[#This Row],[Revenue]]-tbl_raw[[#This Row],[COGS]]) / tbl_raw[[#This Row],[Revenue]], 0)</f>
        <v>0.49325563636363634</v>
      </c>
      <c r="I579" s="5" t="str" cm="1">
        <f t="array" ref="I57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79" s="5">
        <f>_xlfn.XLOOKUP(tbl_raw[[#This Row],[Kategori]], tbl_target[Kategori], tbl_target[Target_Margin], 0)</f>
        <v>0.25</v>
      </c>
      <c r="K579" t="s">
        <v>18</v>
      </c>
      <c r="L579" t="s">
        <v>25</v>
      </c>
      <c r="M579">
        <v>9076645</v>
      </c>
    </row>
    <row r="580" spans="1:13" x14ac:dyDescent="0.3">
      <c r="A580" t="s">
        <v>422</v>
      </c>
      <c r="B580" t="s">
        <v>409</v>
      </c>
      <c r="C580" t="s">
        <v>20</v>
      </c>
      <c r="D580" t="s">
        <v>30</v>
      </c>
      <c r="E580">
        <v>16100000</v>
      </c>
      <c r="F580">
        <v>7430423</v>
      </c>
      <c r="G580">
        <v>8669577</v>
      </c>
      <c r="H580" s="5">
        <f>IFERROR((tbl_raw[[#This Row],[Revenue]]-tbl_raw[[#This Row],[COGS]]) / tbl_raw[[#This Row],[Revenue]], 0)</f>
        <v>0.53848304347826081</v>
      </c>
      <c r="I580" s="5" t="str" cm="1">
        <f t="array" ref="I58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80" s="5">
        <f>_xlfn.XLOOKUP(tbl_raw[[#This Row],[Kategori]], tbl_target[Kategori], tbl_target[Target_Margin], 0)</f>
        <v>0.4</v>
      </c>
      <c r="K580" t="s">
        <v>18</v>
      </c>
      <c r="L580" t="s">
        <v>15</v>
      </c>
      <c r="M580">
        <v>12998016</v>
      </c>
    </row>
    <row r="581" spans="1:13" x14ac:dyDescent="0.3">
      <c r="A581" t="s">
        <v>423</v>
      </c>
      <c r="B581" t="s">
        <v>409</v>
      </c>
      <c r="C581" t="s">
        <v>23</v>
      </c>
      <c r="D581" t="s">
        <v>58</v>
      </c>
      <c r="E581">
        <v>900000</v>
      </c>
      <c r="F581">
        <v>342880</v>
      </c>
      <c r="G581">
        <v>557120</v>
      </c>
      <c r="H581" s="5">
        <f>IFERROR((tbl_raw[[#This Row],[Revenue]]-tbl_raw[[#This Row],[COGS]]) / tbl_raw[[#This Row],[Revenue]], 0)</f>
        <v>0.61902222222222225</v>
      </c>
      <c r="I581" s="5" t="str" cm="1">
        <f t="array" ref="I58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81" s="5">
        <f>_xlfn.XLOOKUP(tbl_raw[[#This Row],[Kategori]], tbl_target[Kategori], tbl_target[Target_Margin], 0)</f>
        <v>0.35</v>
      </c>
      <c r="K581" t="s">
        <v>14</v>
      </c>
      <c r="L581" t="s">
        <v>41</v>
      </c>
      <c r="M581">
        <v>1110481</v>
      </c>
    </row>
    <row r="582" spans="1:13" x14ac:dyDescent="0.3">
      <c r="A582" t="s">
        <v>423</v>
      </c>
      <c r="B582" t="s">
        <v>409</v>
      </c>
      <c r="C582" t="s">
        <v>12</v>
      </c>
      <c r="D582" t="s">
        <v>32</v>
      </c>
      <c r="E582">
        <v>8200000</v>
      </c>
      <c r="F582">
        <v>4190712</v>
      </c>
      <c r="G582">
        <v>4009288</v>
      </c>
      <c r="H582" s="5">
        <f>IFERROR((tbl_raw[[#This Row],[Revenue]]-tbl_raw[[#This Row],[COGS]]) / tbl_raw[[#This Row],[Revenue]], 0)</f>
        <v>0.48893756097560975</v>
      </c>
      <c r="I582" s="5" t="str" cm="1">
        <f t="array" ref="I58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82" s="5">
        <f>_xlfn.XLOOKUP(tbl_raw[[#This Row],[Kategori]], tbl_target[Kategori], tbl_target[Target_Margin], 0)</f>
        <v>0.25</v>
      </c>
      <c r="K582" t="s">
        <v>18</v>
      </c>
      <c r="L582" t="s">
        <v>41</v>
      </c>
      <c r="M582">
        <v>8402306</v>
      </c>
    </row>
    <row r="583" spans="1:13" x14ac:dyDescent="0.3">
      <c r="A583" t="s">
        <v>423</v>
      </c>
      <c r="B583" t="s">
        <v>409</v>
      </c>
      <c r="C583" t="s">
        <v>23</v>
      </c>
      <c r="D583" t="s">
        <v>58</v>
      </c>
      <c r="E583">
        <v>5400000</v>
      </c>
      <c r="F583">
        <v>2120310</v>
      </c>
      <c r="G583">
        <v>3279690</v>
      </c>
      <c r="H583" s="5">
        <f>IFERROR((tbl_raw[[#This Row],[Revenue]]-tbl_raw[[#This Row],[COGS]]) / tbl_raw[[#This Row],[Revenue]], 0)</f>
        <v>0.60734999999999995</v>
      </c>
      <c r="I583" s="5" t="str" cm="1">
        <f t="array" ref="I58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83" s="5">
        <f>_xlfn.XLOOKUP(tbl_raw[[#This Row],[Kategori]], tbl_target[Kategori], tbl_target[Target_Margin], 0)</f>
        <v>0.35</v>
      </c>
      <c r="K583" t="s">
        <v>48</v>
      </c>
      <c r="L583" t="s">
        <v>15</v>
      </c>
      <c r="M583">
        <v>6271975</v>
      </c>
    </row>
    <row r="584" spans="1:13" x14ac:dyDescent="0.3">
      <c r="A584" t="s">
        <v>424</v>
      </c>
      <c r="B584" t="s">
        <v>409</v>
      </c>
      <c r="C584" t="s">
        <v>12</v>
      </c>
      <c r="D584" t="s">
        <v>17</v>
      </c>
      <c r="E584">
        <v>7600000</v>
      </c>
      <c r="F584">
        <v>3881736</v>
      </c>
      <c r="G584">
        <v>3718264</v>
      </c>
      <c r="H584" s="5">
        <f>IFERROR((tbl_raw[[#This Row],[Revenue]]-tbl_raw[[#This Row],[COGS]]) / tbl_raw[[#This Row],[Revenue]], 0)</f>
        <v>0.48924526315789474</v>
      </c>
      <c r="I584" s="5" t="str" cm="1">
        <f t="array" ref="I58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84" s="5">
        <f>_xlfn.XLOOKUP(tbl_raw[[#This Row],[Kategori]], tbl_target[Kategori], tbl_target[Target_Margin], 0)</f>
        <v>0.25</v>
      </c>
      <c r="K584" t="s">
        <v>48</v>
      </c>
      <c r="L584" t="s">
        <v>31</v>
      </c>
      <c r="M584">
        <v>9461245</v>
      </c>
    </row>
    <row r="585" spans="1:13" x14ac:dyDescent="0.3">
      <c r="A585" t="s">
        <v>425</v>
      </c>
      <c r="B585" t="s">
        <v>409</v>
      </c>
      <c r="C585" t="s">
        <v>12</v>
      </c>
      <c r="D585" t="s">
        <v>13</v>
      </c>
      <c r="E585">
        <v>17900000</v>
      </c>
      <c r="F585">
        <v>8974643</v>
      </c>
      <c r="G585">
        <v>8925357</v>
      </c>
      <c r="H585" s="5">
        <f>IFERROR((tbl_raw[[#This Row],[Revenue]]-tbl_raw[[#This Row],[COGS]]) / tbl_raw[[#This Row],[Revenue]], 0)</f>
        <v>0.49862329608938549</v>
      </c>
      <c r="I585" s="5" t="str" cm="1">
        <f t="array" ref="I58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85" s="5">
        <f>_xlfn.XLOOKUP(tbl_raw[[#This Row],[Kategori]], tbl_target[Kategori], tbl_target[Target_Margin], 0)</f>
        <v>0.25</v>
      </c>
      <c r="K585" t="s">
        <v>14</v>
      </c>
      <c r="L585" t="s">
        <v>28</v>
      </c>
      <c r="M585">
        <v>22905700</v>
      </c>
    </row>
    <row r="586" spans="1:13" x14ac:dyDescent="0.3">
      <c r="A586" t="s">
        <v>426</v>
      </c>
      <c r="B586" t="s">
        <v>409</v>
      </c>
      <c r="C586" t="s">
        <v>12</v>
      </c>
      <c r="D586" t="s">
        <v>13</v>
      </c>
      <c r="E586">
        <v>15800000</v>
      </c>
      <c r="F586">
        <v>8775761</v>
      </c>
      <c r="G586">
        <v>7024239</v>
      </c>
      <c r="H586" s="5">
        <f>IFERROR((tbl_raw[[#This Row],[Revenue]]-tbl_raw[[#This Row],[COGS]]) / tbl_raw[[#This Row],[Revenue]], 0)</f>
        <v>0.44457208860759495</v>
      </c>
      <c r="I586" s="5" t="str" cm="1">
        <f t="array" ref="I58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86" s="5">
        <f>_xlfn.XLOOKUP(tbl_raw[[#This Row],[Kategori]], tbl_target[Kategori], tbl_target[Target_Margin], 0)</f>
        <v>0.25</v>
      </c>
      <c r="K586" t="s">
        <v>36</v>
      </c>
      <c r="L586" t="s">
        <v>41</v>
      </c>
      <c r="M586">
        <v>19981162</v>
      </c>
    </row>
    <row r="587" spans="1:13" x14ac:dyDescent="0.3">
      <c r="A587" t="s">
        <v>427</v>
      </c>
      <c r="B587" t="s">
        <v>409</v>
      </c>
      <c r="C587" t="s">
        <v>12</v>
      </c>
      <c r="D587" t="s">
        <v>13</v>
      </c>
      <c r="E587">
        <v>17800000</v>
      </c>
      <c r="F587">
        <v>6882424</v>
      </c>
      <c r="G587">
        <v>10917576</v>
      </c>
      <c r="H587" s="5">
        <f>IFERROR((tbl_raw[[#This Row],[Revenue]]-tbl_raw[[#This Row],[COGS]]) / tbl_raw[[#This Row],[Revenue]], 0)</f>
        <v>0.61334696629213481</v>
      </c>
      <c r="I587" s="5" t="str" cm="1">
        <f t="array" ref="I58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87" s="5">
        <f>_xlfn.XLOOKUP(tbl_raw[[#This Row],[Kategori]], tbl_target[Kategori], tbl_target[Target_Margin], 0)</f>
        <v>0.25</v>
      </c>
      <c r="K587" t="s">
        <v>22</v>
      </c>
      <c r="L587" t="s">
        <v>34</v>
      </c>
      <c r="M587">
        <v>20122175</v>
      </c>
    </row>
    <row r="588" spans="1:13" x14ac:dyDescent="0.3">
      <c r="A588" t="s">
        <v>428</v>
      </c>
      <c r="B588" t="s">
        <v>409</v>
      </c>
      <c r="C588" t="s">
        <v>12</v>
      </c>
      <c r="D588" t="s">
        <v>13</v>
      </c>
      <c r="E588">
        <v>7300000</v>
      </c>
      <c r="F588">
        <v>2744736</v>
      </c>
      <c r="G588">
        <v>4555264</v>
      </c>
      <c r="H588" s="5">
        <f>IFERROR((tbl_raw[[#This Row],[Revenue]]-tbl_raw[[#This Row],[COGS]]) / tbl_raw[[#This Row],[Revenue]], 0)</f>
        <v>0.62400876712328768</v>
      </c>
      <c r="I588" s="5" t="str" cm="1">
        <f t="array" ref="I58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88" s="5">
        <f>_xlfn.XLOOKUP(tbl_raw[[#This Row],[Kategori]], tbl_target[Kategori], tbl_target[Target_Margin], 0)</f>
        <v>0.25</v>
      </c>
      <c r="K588" t="s">
        <v>36</v>
      </c>
      <c r="L588" t="s">
        <v>34</v>
      </c>
      <c r="M588">
        <v>8690365</v>
      </c>
    </row>
    <row r="589" spans="1:13" x14ac:dyDescent="0.3">
      <c r="A589" t="s">
        <v>429</v>
      </c>
      <c r="B589" t="s">
        <v>409</v>
      </c>
      <c r="C589" t="s">
        <v>23</v>
      </c>
      <c r="D589" t="s">
        <v>27</v>
      </c>
      <c r="E589">
        <v>2900000</v>
      </c>
      <c r="F589">
        <v>1026882</v>
      </c>
      <c r="G589">
        <v>1873118</v>
      </c>
      <c r="H589" s="5">
        <f>IFERROR((tbl_raw[[#This Row],[Revenue]]-tbl_raw[[#This Row],[COGS]]) / tbl_raw[[#This Row],[Revenue]], 0)</f>
        <v>0.64590275862068969</v>
      </c>
      <c r="I589" s="5" t="str" cm="1">
        <f t="array" ref="I58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89" s="5">
        <f>_xlfn.XLOOKUP(tbl_raw[[#This Row],[Kategori]], tbl_target[Kategori], tbl_target[Target_Margin], 0)</f>
        <v>0.35</v>
      </c>
      <c r="K589" t="s">
        <v>18</v>
      </c>
      <c r="L589" t="s">
        <v>19</v>
      </c>
      <c r="M589">
        <v>3004817</v>
      </c>
    </row>
    <row r="590" spans="1:13" x14ac:dyDescent="0.3">
      <c r="A590" t="s">
        <v>429</v>
      </c>
      <c r="B590" t="s">
        <v>409</v>
      </c>
      <c r="C590" t="s">
        <v>12</v>
      </c>
      <c r="D590" t="s">
        <v>17</v>
      </c>
      <c r="E590">
        <v>3000000</v>
      </c>
      <c r="F590">
        <v>1111571</v>
      </c>
      <c r="G590">
        <v>1888429</v>
      </c>
      <c r="H590" s="5">
        <f>IFERROR((tbl_raw[[#This Row],[Revenue]]-tbl_raw[[#This Row],[COGS]]) / tbl_raw[[#This Row],[Revenue]], 0)</f>
        <v>0.6294763333333333</v>
      </c>
      <c r="I590" s="5" t="str" cm="1">
        <f t="array" ref="I59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90" s="5">
        <f>_xlfn.XLOOKUP(tbl_raw[[#This Row],[Kategori]], tbl_target[Kategori], tbl_target[Target_Margin], 0)</f>
        <v>0.25</v>
      </c>
      <c r="K590" t="s">
        <v>22</v>
      </c>
      <c r="L590" t="s">
        <v>15</v>
      </c>
      <c r="M590">
        <v>3594291</v>
      </c>
    </row>
    <row r="591" spans="1:13" x14ac:dyDescent="0.3">
      <c r="A591" t="s">
        <v>429</v>
      </c>
      <c r="B591" t="s">
        <v>409</v>
      </c>
      <c r="C591" t="s">
        <v>23</v>
      </c>
      <c r="D591" t="s">
        <v>58</v>
      </c>
      <c r="E591">
        <v>13100000</v>
      </c>
      <c r="F591">
        <v>6397991</v>
      </c>
      <c r="G591">
        <v>6702009</v>
      </c>
      <c r="H591" s="5">
        <f>IFERROR((tbl_raw[[#This Row],[Revenue]]-tbl_raw[[#This Row],[COGS]]) / tbl_raw[[#This Row],[Revenue]], 0)</f>
        <v>0.51160374045801527</v>
      </c>
      <c r="I591" s="5" t="str" cm="1">
        <f t="array" ref="I59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91" s="5">
        <f>_xlfn.XLOOKUP(tbl_raw[[#This Row],[Kategori]], tbl_target[Kategori], tbl_target[Target_Margin], 0)</f>
        <v>0.35</v>
      </c>
      <c r="K591" t="s">
        <v>18</v>
      </c>
      <c r="L591" t="s">
        <v>31</v>
      </c>
      <c r="M591">
        <v>14093009</v>
      </c>
    </row>
    <row r="592" spans="1:13" x14ac:dyDescent="0.3">
      <c r="A592" t="s">
        <v>430</v>
      </c>
      <c r="B592" t="s">
        <v>431</v>
      </c>
      <c r="C592" t="s">
        <v>23</v>
      </c>
      <c r="D592" t="s">
        <v>24</v>
      </c>
      <c r="E592">
        <v>17600000</v>
      </c>
      <c r="F592">
        <v>7296015</v>
      </c>
      <c r="G592">
        <v>10303985</v>
      </c>
      <c r="H592" s="5">
        <f>IFERROR((tbl_raw[[#This Row],[Revenue]]-tbl_raw[[#This Row],[COGS]]) / tbl_raw[[#This Row],[Revenue]], 0)</f>
        <v>0.58545369318181817</v>
      </c>
      <c r="I592" s="5" t="str" cm="1">
        <f t="array" ref="I59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92" s="5">
        <f>_xlfn.XLOOKUP(tbl_raw[[#This Row],[Kategori]], tbl_target[Kategori], tbl_target[Target_Margin], 0)</f>
        <v>0.35</v>
      </c>
      <c r="K592" t="s">
        <v>14</v>
      </c>
      <c r="L592" t="s">
        <v>28</v>
      </c>
      <c r="M592">
        <v>22195164</v>
      </c>
    </row>
    <row r="593" spans="1:13" x14ac:dyDescent="0.3">
      <c r="A593" t="s">
        <v>430</v>
      </c>
      <c r="B593" t="s">
        <v>431</v>
      </c>
      <c r="C593" t="s">
        <v>23</v>
      </c>
      <c r="D593" t="s">
        <v>24</v>
      </c>
      <c r="E593">
        <v>7700000</v>
      </c>
      <c r="F593">
        <v>3351612</v>
      </c>
      <c r="G593">
        <v>4348388</v>
      </c>
      <c r="H593" s="5">
        <f>IFERROR((tbl_raw[[#This Row],[Revenue]]-tbl_raw[[#This Row],[COGS]]) / tbl_raw[[#This Row],[Revenue]], 0)</f>
        <v>0.56472571428571428</v>
      </c>
      <c r="I593" s="5" t="str" cm="1">
        <f t="array" ref="I59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93" s="5">
        <f>_xlfn.XLOOKUP(tbl_raw[[#This Row],[Kategori]], tbl_target[Kategori], tbl_target[Target_Margin], 0)</f>
        <v>0.35</v>
      </c>
      <c r="K593" t="s">
        <v>48</v>
      </c>
      <c r="L593" t="s">
        <v>19</v>
      </c>
      <c r="M593">
        <v>7597415</v>
      </c>
    </row>
    <row r="594" spans="1:13" x14ac:dyDescent="0.3">
      <c r="A594" t="s">
        <v>430</v>
      </c>
      <c r="B594" t="s">
        <v>431</v>
      </c>
      <c r="C594" t="s">
        <v>20</v>
      </c>
      <c r="D594" t="s">
        <v>21</v>
      </c>
      <c r="E594">
        <v>13200000</v>
      </c>
      <c r="F594">
        <v>7171227</v>
      </c>
      <c r="G594">
        <v>6028773</v>
      </c>
      <c r="H594" s="5">
        <f>IFERROR((tbl_raw[[#This Row],[Revenue]]-tbl_raw[[#This Row],[COGS]]) / tbl_raw[[#This Row],[Revenue]], 0)</f>
        <v>0.4567252272727273</v>
      </c>
      <c r="I594" s="5" t="str" cm="1">
        <f t="array" ref="I59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94" s="5">
        <f>_xlfn.XLOOKUP(tbl_raw[[#This Row],[Kategori]], tbl_target[Kategori], tbl_target[Target_Margin], 0)</f>
        <v>0.4</v>
      </c>
      <c r="K594" t="s">
        <v>22</v>
      </c>
      <c r="L594" t="s">
        <v>34</v>
      </c>
      <c r="M594">
        <v>13416094</v>
      </c>
    </row>
    <row r="595" spans="1:13" x14ac:dyDescent="0.3">
      <c r="A595" t="s">
        <v>432</v>
      </c>
      <c r="B595" t="s">
        <v>431</v>
      </c>
      <c r="C595" t="s">
        <v>12</v>
      </c>
      <c r="D595" t="s">
        <v>32</v>
      </c>
      <c r="E595">
        <v>2100000</v>
      </c>
      <c r="F595">
        <v>1259182</v>
      </c>
      <c r="G595">
        <v>840818</v>
      </c>
      <c r="H595" s="5">
        <f>IFERROR((tbl_raw[[#This Row],[Revenue]]-tbl_raw[[#This Row],[COGS]]) / tbl_raw[[#This Row],[Revenue]], 0)</f>
        <v>0.40038952380952381</v>
      </c>
      <c r="I595" s="5" t="str" cm="1">
        <f t="array" ref="I59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95" s="5">
        <f>_xlfn.XLOOKUP(tbl_raw[[#This Row],[Kategori]], tbl_target[Kategori], tbl_target[Target_Margin], 0)</f>
        <v>0.25</v>
      </c>
      <c r="K595" t="s">
        <v>36</v>
      </c>
      <c r="L595" t="s">
        <v>25</v>
      </c>
      <c r="M595">
        <v>1802623</v>
      </c>
    </row>
    <row r="596" spans="1:13" x14ac:dyDescent="0.3">
      <c r="A596" t="s">
        <v>433</v>
      </c>
      <c r="B596" t="s">
        <v>431</v>
      </c>
      <c r="C596" t="s">
        <v>20</v>
      </c>
      <c r="D596" t="s">
        <v>30</v>
      </c>
      <c r="E596">
        <v>11300000</v>
      </c>
      <c r="F596">
        <v>4017304</v>
      </c>
      <c r="G596">
        <v>7282696</v>
      </c>
      <c r="H596" s="5">
        <f>IFERROR((tbl_raw[[#This Row],[Revenue]]-tbl_raw[[#This Row],[COGS]]) / tbl_raw[[#This Row],[Revenue]], 0)</f>
        <v>0.64448637168141598</v>
      </c>
      <c r="I596" s="5" t="str" cm="1">
        <f t="array" ref="I59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96" s="5">
        <f>_xlfn.XLOOKUP(tbl_raw[[#This Row],[Kategori]], tbl_target[Kategori], tbl_target[Target_Margin], 0)</f>
        <v>0.4</v>
      </c>
      <c r="K596" t="s">
        <v>22</v>
      </c>
      <c r="L596" t="s">
        <v>28</v>
      </c>
      <c r="M596">
        <v>13746566</v>
      </c>
    </row>
    <row r="597" spans="1:13" x14ac:dyDescent="0.3">
      <c r="A597" t="s">
        <v>434</v>
      </c>
      <c r="B597" t="s">
        <v>431</v>
      </c>
      <c r="C597" t="s">
        <v>12</v>
      </c>
      <c r="D597" t="s">
        <v>17</v>
      </c>
      <c r="E597">
        <v>16400000</v>
      </c>
      <c r="F597">
        <v>9393295</v>
      </c>
      <c r="G597">
        <v>7006705</v>
      </c>
      <c r="H597" s="5">
        <f>IFERROR((tbl_raw[[#This Row],[Revenue]]-tbl_raw[[#This Row],[COGS]]) / tbl_raw[[#This Row],[Revenue]], 0)</f>
        <v>0.42723810975609755</v>
      </c>
      <c r="I597" s="5" t="str" cm="1">
        <f t="array" ref="I59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97" s="5">
        <f>_xlfn.XLOOKUP(tbl_raw[[#This Row],[Kategori]], tbl_target[Kategori], tbl_target[Target_Margin], 0)</f>
        <v>0.25</v>
      </c>
      <c r="K597" t="s">
        <v>48</v>
      </c>
      <c r="L597" t="s">
        <v>19</v>
      </c>
      <c r="M597">
        <v>16545457</v>
      </c>
    </row>
    <row r="598" spans="1:13" x14ac:dyDescent="0.3">
      <c r="A598" t="s">
        <v>435</v>
      </c>
      <c r="B598" t="s">
        <v>431</v>
      </c>
      <c r="C598" t="s">
        <v>20</v>
      </c>
      <c r="D598" t="s">
        <v>30</v>
      </c>
      <c r="E598">
        <v>12500000</v>
      </c>
      <c r="F598">
        <v>5275198</v>
      </c>
      <c r="G598">
        <v>7224802</v>
      </c>
      <c r="H598" s="5">
        <f>IFERROR((tbl_raw[[#This Row],[Revenue]]-tbl_raw[[#This Row],[COGS]]) / tbl_raw[[#This Row],[Revenue]], 0)</f>
        <v>0.57798415999999997</v>
      </c>
      <c r="I598" s="5" t="str" cm="1">
        <f t="array" ref="I59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98" s="5">
        <f>_xlfn.XLOOKUP(tbl_raw[[#This Row],[Kategori]], tbl_target[Kategori], tbl_target[Target_Margin], 0)</f>
        <v>0.4</v>
      </c>
      <c r="K598" t="s">
        <v>22</v>
      </c>
      <c r="L598" t="s">
        <v>41</v>
      </c>
      <c r="M598">
        <v>14225995</v>
      </c>
    </row>
    <row r="599" spans="1:13" x14ac:dyDescent="0.3">
      <c r="A599" t="s">
        <v>435</v>
      </c>
      <c r="B599" t="s">
        <v>431</v>
      </c>
      <c r="C599" t="s">
        <v>20</v>
      </c>
      <c r="D599" t="s">
        <v>40</v>
      </c>
      <c r="E599">
        <v>6300000</v>
      </c>
      <c r="F599">
        <v>3248143</v>
      </c>
      <c r="G599">
        <v>3051857</v>
      </c>
      <c r="H599" s="5">
        <f>IFERROR((tbl_raw[[#This Row],[Revenue]]-tbl_raw[[#This Row],[COGS]]) / tbl_raw[[#This Row],[Revenue]], 0)</f>
        <v>0.48442174603174604</v>
      </c>
      <c r="I599" s="5" t="str" cm="1">
        <f t="array" ref="I59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599" s="5">
        <f>_xlfn.XLOOKUP(tbl_raw[[#This Row],[Kategori]], tbl_target[Kategori], tbl_target[Target_Margin], 0)</f>
        <v>0.4</v>
      </c>
      <c r="K599" t="s">
        <v>14</v>
      </c>
      <c r="L599" t="s">
        <v>28</v>
      </c>
      <c r="M599">
        <v>6748189</v>
      </c>
    </row>
    <row r="600" spans="1:13" x14ac:dyDescent="0.3">
      <c r="A600" t="s">
        <v>435</v>
      </c>
      <c r="B600" t="s">
        <v>431</v>
      </c>
      <c r="C600" t="s">
        <v>12</v>
      </c>
      <c r="D600" t="s">
        <v>13</v>
      </c>
      <c r="E600">
        <v>16800000</v>
      </c>
      <c r="F600">
        <v>7068767</v>
      </c>
      <c r="G600">
        <v>9731233</v>
      </c>
      <c r="H600" s="5">
        <f>IFERROR((tbl_raw[[#This Row],[Revenue]]-tbl_raw[[#This Row],[COGS]]) / tbl_raw[[#This Row],[Revenue]], 0)</f>
        <v>0.57924005952380953</v>
      </c>
      <c r="I600" s="5" t="str" cm="1">
        <f t="array" ref="I60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00" s="5">
        <f>_xlfn.XLOOKUP(tbl_raw[[#This Row],[Kategori]], tbl_target[Kategori], tbl_target[Target_Margin], 0)</f>
        <v>0.25</v>
      </c>
      <c r="K600" t="s">
        <v>36</v>
      </c>
      <c r="L600" t="s">
        <v>25</v>
      </c>
      <c r="M600">
        <v>18562528</v>
      </c>
    </row>
    <row r="601" spans="1:13" x14ac:dyDescent="0.3">
      <c r="A601" t="s">
        <v>436</v>
      </c>
      <c r="B601" t="s">
        <v>431</v>
      </c>
      <c r="C601" t="s">
        <v>20</v>
      </c>
      <c r="D601" t="s">
        <v>40</v>
      </c>
      <c r="E601">
        <v>19600000</v>
      </c>
      <c r="F601">
        <v>8845473</v>
      </c>
      <c r="G601">
        <v>10754527</v>
      </c>
      <c r="H601" s="5">
        <f>IFERROR((tbl_raw[[#This Row],[Revenue]]-tbl_raw[[#This Row],[COGS]]) / tbl_raw[[#This Row],[Revenue]], 0)</f>
        <v>0.54870035714285714</v>
      </c>
      <c r="I601" s="5" t="str" cm="1">
        <f t="array" ref="I60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01" s="5">
        <f>_xlfn.XLOOKUP(tbl_raw[[#This Row],[Kategori]], tbl_target[Kategori], tbl_target[Target_Margin], 0)</f>
        <v>0.4</v>
      </c>
      <c r="K601" t="s">
        <v>36</v>
      </c>
      <c r="L601" t="s">
        <v>15</v>
      </c>
      <c r="M601">
        <v>18144012</v>
      </c>
    </row>
    <row r="602" spans="1:13" x14ac:dyDescent="0.3">
      <c r="A602" t="s">
        <v>437</v>
      </c>
      <c r="B602" t="s">
        <v>431</v>
      </c>
      <c r="C602" t="s">
        <v>20</v>
      </c>
      <c r="D602" t="s">
        <v>40</v>
      </c>
      <c r="E602">
        <v>10200000</v>
      </c>
      <c r="F602">
        <v>3677358</v>
      </c>
      <c r="G602">
        <v>6522642</v>
      </c>
      <c r="H602" s="5">
        <f>IFERROR((tbl_raw[[#This Row],[Revenue]]-tbl_raw[[#This Row],[COGS]]) / tbl_raw[[#This Row],[Revenue]], 0)</f>
        <v>0.63947470588235289</v>
      </c>
      <c r="I602" s="5" t="str" cm="1">
        <f t="array" ref="I60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02" s="5">
        <f>_xlfn.XLOOKUP(tbl_raw[[#This Row],[Kategori]], tbl_target[Kategori], tbl_target[Target_Margin], 0)</f>
        <v>0.4</v>
      </c>
      <c r="K602" t="s">
        <v>22</v>
      </c>
      <c r="L602" t="s">
        <v>31</v>
      </c>
      <c r="M602">
        <v>8709768</v>
      </c>
    </row>
    <row r="603" spans="1:13" x14ac:dyDescent="0.3">
      <c r="A603" t="s">
        <v>437</v>
      </c>
      <c r="B603" t="s">
        <v>431</v>
      </c>
      <c r="C603" t="s">
        <v>20</v>
      </c>
      <c r="D603" t="s">
        <v>21</v>
      </c>
      <c r="E603">
        <v>13700000</v>
      </c>
      <c r="F603">
        <v>6519352</v>
      </c>
      <c r="G603">
        <v>7180648</v>
      </c>
      <c r="H603" s="5">
        <f>IFERROR((tbl_raw[[#This Row],[Revenue]]-tbl_raw[[#This Row],[COGS]]) / tbl_raw[[#This Row],[Revenue]], 0)</f>
        <v>0.52413489051094886</v>
      </c>
      <c r="I603" s="5" t="str" cm="1">
        <f t="array" ref="I60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03" s="5">
        <f>_xlfn.XLOOKUP(tbl_raw[[#This Row],[Kategori]], tbl_target[Kategori], tbl_target[Target_Margin], 0)</f>
        <v>0.4</v>
      </c>
      <c r="K603" t="s">
        <v>36</v>
      </c>
      <c r="L603" t="s">
        <v>19</v>
      </c>
      <c r="M603">
        <v>16875817</v>
      </c>
    </row>
    <row r="604" spans="1:13" x14ac:dyDescent="0.3">
      <c r="A604" t="s">
        <v>438</v>
      </c>
      <c r="B604" t="s">
        <v>431</v>
      </c>
      <c r="C604" t="s">
        <v>20</v>
      </c>
      <c r="D604" t="s">
        <v>40</v>
      </c>
      <c r="E604">
        <v>19300000</v>
      </c>
      <c r="F604">
        <v>9785513</v>
      </c>
      <c r="G604">
        <v>9514487</v>
      </c>
      <c r="H604" s="5">
        <f>IFERROR((tbl_raw[[#This Row],[Revenue]]-tbl_raw[[#This Row],[COGS]]) / tbl_raw[[#This Row],[Revenue]], 0)</f>
        <v>0.49297860103626945</v>
      </c>
      <c r="I604" s="5" t="str" cm="1">
        <f t="array" ref="I60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04" s="5">
        <f>_xlfn.XLOOKUP(tbl_raw[[#This Row],[Kategori]], tbl_target[Kategori], tbl_target[Target_Margin], 0)</f>
        <v>0.4</v>
      </c>
      <c r="K604" t="s">
        <v>22</v>
      </c>
      <c r="L604" t="s">
        <v>31</v>
      </c>
      <c r="M604">
        <v>15780660</v>
      </c>
    </row>
    <row r="605" spans="1:13" x14ac:dyDescent="0.3">
      <c r="A605" t="s">
        <v>439</v>
      </c>
      <c r="B605" t="s">
        <v>431</v>
      </c>
      <c r="C605" t="s">
        <v>12</v>
      </c>
      <c r="D605" t="s">
        <v>17</v>
      </c>
      <c r="E605">
        <v>700000</v>
      </c>
      <c r="F605">
        <v>364669</v>
      </c>
      <c r="G605">
        <v>335331</v>
      </c>
      <c r="H605" s="5">
        <f>IFERROR((tbl_raw[[#This Row],[Revenue]]-tbl_raw[[#This Row],[COGS]]) / tbl_raw[[#This Row],[Revenue]], 0)</f>
        <v>0.4790442857142857</v>
      </c>
      <c r="I605" s="5" t="str" cm="1">
        <f t="array" ref="I60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05" s="5">
        <f>_xlfn.XLOOKUP(tbl_raw[[#This Row],[Kategori]], tbl_target[Kategori], tbl_target[Target_Margin], 0)</f>
        <v>0.25</v>
      </c>
      <c r="K605" t="s">
        <v>22</v>
      </c>
      <c r="L605" t="s">
        <v>41</v>
      </c>
      <c r="M605">
        <v>767700</v>
      </c>
    </row>
    <row r="606" spans="1:13" x14ac:dyDescent="0.3">
      <c r="A606" t="s">
        <v>440</v>
      </c>
      <c r="B606" t="s">
        <v>431</v>
      </c>
      <c r="C606" t="s">
        <v>12</v>
      </c>
      <c r="D606" t="s">
        <v>32</v>
      </c>
      <c r="E606">
        <v>500000</v>
      </c>
      <c r="F606">
        <v>188074</v>
      </c>
      <c r="G606">
        <v>311926</v>
      </c>
      <c r="H606" s="5">
        <f>IFERROR((tbl_raw[[#This Row],[Revenue]]-tbl_raw[[#This Row],[COGS]]) / tbl_raw[[#This Row],[Revenue]], 0)</f>
        <v>0.62385199999999996</v>
      </c>
      <c r="I606" s="5" t="str" cm="1">
        <f t="array" ref="I60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06" s="5">
        <f>_xlfn.XLOOKUP(tbl_raw[[#This Row],[Kategori]], tbl_target[Kategori], tbl_target[Target_Margin], 0)</f>
        <v>0.25</v>
      </c>
      <c r="K606" t="s">
        <v>14</v>
      </c>
      <c r="L606" t="s">
        <v>25</v>
      </c>
      <c r="M606">
        <v>592892</v>
      </c>
    </row>
    <row r="607" spans="1:13" x14ac:dyDescent="0.3">
      <c r="A607" t="s">
        <v>441</v>
      </c>
      <c r="B607" t="s">
        <v>431</v>
      </c>
      <c r="C607" t="s">
        <v>20</v>
      </c>
      <c r="D607" t="s">
        <v>40</v>
      </c>
      <c r="E607">
        <v>1700000</v>
      </c>
      <c r="F607">
        <v>701416</v>
      </c>
      <c r="G607">
        <v>998584</v>
      </c>
      <c r="H607" s="5">
        <f>IFERROR((tbl_raw[[#This Row],[Revenue]]-tbl_raw[[#This Row],[COGS]]) / tbl_raw[[#This Row],[Revenue]], 0)</f>
        <v>0.58740235294117649</v>
      </c>
      <c r="I607" s="5" t="str" cm="1">
        <f t="array" ref="I60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07" s="5">
        <f>_xlfn.XLOOKUP(tbl_raw[[#This Row],[Kategori]], tbl_target[Kategori], tbl_target[Target_Margin], 0)</f>
        <v>0.4</v>
      </c>
      <c r="K607" t="s">
        <v>18</v>
      </c>
      <c r="L607" t="s">
        <v>41</v>
      </c>
      <c r="M607">
        <v>1806465</v>
      </c>
    </row>
    <row r="608" spans="1:13" x14ac:dyDescent="0.3">
      <c r="A608" t="s">
        <v>441</v>
      </c>
      <c r="B608" t="s">
        <v>431</v>
      </c>
      <c r="C608" t="s">
        <v>12</v>
      </c>
      <c r="D608" t="s">
        <v>32</v>
      </c>
      <c r="E608">
        <v>10200000</v>
      </c>
      <c r="F608">
        <v>5559632</v>
      </c>
      <c r="G608">
        <v>4640368</v>
      </c>
      <c r="H608" s="5">
        <f>IFERROR((tbl_raw[[#This Row],[Revenue]]-tbl_raw[[#This Row],[COGS]]) / tbl_raw[[#This Row],[Revenue]], 0)</f>
        <v>0.45493803921568626</v>
      </c>
      <c r="I608" s="5" t="str" cm="1">
        <f t="array" ref="I60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08" s="5">
        <f>_xlfn.XLOOKUP(tbl_raw[[#This Row],[Kategori]], tbl_target[Kategori], tbl_target[Target_Margin], 0)</f>
        <v>0.25</v>
      </c>
      <c r="K608" t="s">
        <v>22</v>
      </c>
      <c r="L608" t="s">
        <v>41</v>
      </c>
      <c r="M608">
        <v>13073970</v>
      </c>
    </row>
    <row r="609" spans="1:13" x14ac:dyDescent="0.3">
      <c r="A609" t="s">
        <v>442</v>
      </c>
      <c r="B609" t="s">
        <v>431</v>
      </c>
      <c r="C609" t="s">
        <v>23</v>
      </c>
      <c r="D609" t="s">
        <v>27</v>
      </c>
      <c r="E609">
        <v>1200000</v>
      </c>
      <c r="F609">
        <v>605783</v>
      </c>
      <c r="G609">
        <v>594217</v>
      </c>
      <c r="H609" s="5">
        <f>IFERROR((tbl_raw[[#This Row],[Revenue]]-tbl_raw[[#This Row],[COGS]]) / tbl_raw[[#This Row],[Revenue]], 0)</f>
        <v>0.49518083333333335</v>
      </c>
      <c r="I609" s="5" t="str" cm="1">
        <f t="array" ref="I60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09" s="5">
        <f>_xlfn.XLOOKUP(tbl_raw[[#This Row],[Kategori]], tbl_target[Kategori], tbl_target[Target_Margin], 0)</f>
        <v>0.35</v>
      </c>
      <c r="K609" t="s">
        <v>18</v>
      </c>
      <c r="L609" t="s">
        <v>49</v>
      </c>
      <c r="M609">
        <v>1474299</v>
      </c>
    </row>
    <row r="610" spans="1:13" x14ac:dyDescent="0.3">
      <c r="A610" t="s">
        <v>442</v>
      </c>
      <c r="B610" t="s">
        <v>431</v>
      </c>
      <c r="C610" t="s">
        <v>23</v>
      </c>
      <c r="D610" t="s">
        <v>24</v>
      </c>
      <c r="E610">
        <v>11200000</v>
      </c>
      <c r="F610">
        <v>4633997</v>
      </c>
      <c r="G610">
        <v>6566003</v>
      </c>
      <c r="H610" s="5">
        <f>IFERROR((tbl_raw[[#This Row],[Revenue]]-tbl_raw[[#This Row],[COGS]]) / tbl_raw[[#This Row],[Revenue]], 0)</f>
        <v>0.58625026785714285</v>
      </c>
      <c r="I610" s="5" t="str" cm="1">
        <f t="array" ref="I61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10" s="5">
        <f>_xlfn.XLOOKUP(tbl_raw[[#This Row],[Kategori]], tbl_target[Kategori], tbl_target[Target_Margin], 0)</f>
        <v>0.35</v>
      </c>
      <c r="K610" t="s">
        <v>22</v>
      </c>
      <c r="L610" t="s">
        <v>31</v>
      </c>
      <c r="M610">
        <v>12349433</v>
      </c>
    </row>
    <row r="611" spans="1:13" x14ac:dyDescent="0.3">
      <c r="A611" t="s">
        <v>443</v>
      </c>
      <c r="B611" t="s">
        <v>431</v>
      </c>
      <c r="C611" t="s">
        <v>12</v>
      </c>
      <c r="D611" t="s">
        <v>17</v>
      </c>
      <c r="E611">
        <v>16400000</v>
      </c>
      <c r="F611">
        <v>8932316</v>
      </c>
      <c r="G611">
        <v>7467684</v>
      </c>
      <c r="H611" s="5">
        <f>IFERROR((tbl_raw[[#This Row],[Revenue]]-tbl_raw[[#This Row],[COGS]]) / tbl_raw[[#This Row],[Revenue]], 0)</f>
        <v>0.45534658536585365</v>
      </c>
      <c r="I611" s="5" t="str" cm="1">
        <f t="array" ref="I61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11" s="5">
        <f>_xlfn.XLOOKUP(tbl_raw[[#This Row],[Kategori]], tbl_target[Kategori], tbl_target[Target_Margin], 0)</f>
        <v>0.25</v>
      </c>
      <c r="K611" t="s">
        <v>14</v>
      </c>
      <c r="L611" t="s">
        <v>15</v>
      </c>
      <c r="M611">
        <v>20935464</v>
      </c>
    </row>
    <row r="612" spans="1:13" x14ac:dyDescent="0.3">
      <c r="A612" t="s">
        <v>444</v>
      </c>
      <c r="B612" t="s">
        <v>431</v>
      </c>
      <c r="C612" t="s">
        <v>23</v>
      </c>
      <c r="D612" t="s">
        <v>24</v>
      </c>
      <c r="E612">
        <v>17600000</v>
      </c>
      <c r="F612">
        <v>9424365</v>
      </c>
      <c r="G612">
        <v>8175635</v>
      </c>
      <c r="H612" s="5">
        <f>IFERROR((tbl_raw[[#This Row],[Revenue]]-tbl_raw[[#This Row],[COGS]]) / tbl_raw[[#This Row],[Revenue]], 0)</f>
        <v>0.46452471590909089</v>
      </c>
      <c r="I612" s="5" t="str" cm="1">
        <f t="array" ref="I61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12" s="5">
        <f>_xlfn.XLOOKUP(tbl_raw[[#This Row],[Kategori]], tbl_target[Kategori], tbl_target[Target_Margin], 0)</f>
        <v>0.35</v>
      </c>
      <c r="K612" t="s">
        <v>14</v>
      </c>
      <c r="L612" t="s">
        <v>25</v>
      </c>
      <c r="M612">
        <v>17445232</v>
      </c>
    </row>
    <row r="613" spans="1:13" x14ac:dyDescent="0.3">
      <c r="A613" t="s">
        <v>445</v>
      </c>
      <c r="B613" t="s">
        <v>431</v>
      </c>
      <c r="C613" t="s">
        <v>23</v>
      </c>
      <c r="D613" t="s">
        <v>58</v>
      </c>
      <c r="E613">
        <v>12600000</v>
      </c>
      <c r="F613">
        <v>6702701</v>
      </c>
      <c r="G613">
        <v>5897299</v>
      </c>
      <c r="H613" s="5">
        <f>IFERROR((tbl_raw[[#This Row],[Revenue]]-tbl_raw[[#This Row],[COGS]]) / tbl_raw[[#This Row],[Revenue]], 0)</f>
        <v>0.46803960317460319</v>
      </c>
      <c r="I613" s="5" t="str" cm="1">
        <f t="array" ref="I61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13" s="5">
        <f>_xlfn.XLOOKUP(tbl_raw[[#This Row],[Kategori]], tbl_target[Kategori], tbl_target[Target_Margin], 0)</f>
        <v>0.35</v>
      </c>
      <c r="K613" t="s">
        <v>22</v>
      </c>
      <c r="L613" t="s">
        <v>25</v>
      </c>
      <c r="M613">
        <v>16068923</v>
      </c>
    </row>
    <row r="614" spans="1:13" x14ac:dyDescent="0.3">
      <c r="A614" t="s">
        <v>446</v>
      </c>
      <c r="B614" t="s">
        <v>431</v>
      </c>
      <c r="C614" t="s">
        <v>23</v>
      </c>
      <c r="D614" t="s">
        <v>24</v>
      </c>
      <c r="E614">
        <v>7200000</v>
      </c>
      <c r="F614">
        <v>3042721</v>
      </c>
      <c r="G614">
        <v>4157279</v>
      </c>
      <c r="H614" s="5">
        <f>IFERROR((tbl_raw[[#This Row],[Revenue]]-tbl_raw[[#This Row],[COGS]]) / tbl_raw[[#This Row],[Revenue]], 0)</f>
        <v>0.57739986111111108</v>
      </c>
      <c r="I614" s="5" t="str" cm="1">
        <f t="array" ref="I61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14" s="5">
        <f>_xlfn.XLOOKUP(tbl_raw[[#This Row],[Kategori]], tbl_target[Kategori], tbl_target[Target_Margin], 0)</f>
        <v>0.35</v>
      </c>
      <c r="K614" t="s">
        <v>22</v>
      </c>
      <c r="L614" t="s">
        <v>25</v>
      </c>
      <c r="M614">
        <v>9227264</v>
      </c>
    </row>
    <row r="615" spans="1:13" x14ac:dyDescent="0.3">
      <c r="A615" t="s">
        <v>447</v>
      </c>
      <c r="B615" t="s">
        <v>448</v>
      </c>
      <c r="C615" t="s">
        <v>12</v>
      </c>
      <c r="D615" t="s">
        <v>13</v>
      </c>
      <c r="E615">
        <v>2100000</v>
      </c>
      <c r="F615">
        <v>1141857</v>
      </c>
      <c r="G615">
        <v>958143</v>
      </c>
      <c r="H615" s="5">
        <f>IFERROR((tbl_raw[[#This Row],[Revenue]]-tbl_raw[[#This Row],[COGS]]) / tbl_raw[[#This Row],[Revenue]], 0)</f>
        <v>0.4562585714285714</v>
      </c>
      <c r="I615" s="5" t="str" cm="1">
        <f t="array" ref="I61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15" s="5">
        <f>_xlfn.XLOOKUP(tbl_raw[[#This Row],[Kategori]], tbl_target[Kategori], tbl_target[Target_Margin], 0)</f>
        <v>0.25</v>
      </c>
      <c r="K615" t="s">
        <v>22</v>
      </c>
      <c r="L615" t="s">
        <v>34</v>
      </c>
      <c r="M615">
        <v>2652430</v>
      </c>
    </row>
    <row r="616" spans="1:13" x14ac:dyDescent="0.3">
      <c r="A616" t="s">
        <v>449</v>
      </c>
      <c r="B616" t="s">
        <v>448</v>
      </c>
      <c r="C616" t="s">
        <v>23</v>
      </c>
      <c r="D616" t="s">
        <v>24</v>
      </c>
      <c r="E616">
        <v>8600000</v>
      </c>
      <c r="F616">
        <v>3538980</v>
      </c>
      <c r="G616">
        <v>5061020</v>
      </c>
      <c r="H616" s="5">
        <f>IFERROR((tbl_raw[[#This Row],[Revenue]]-tbl_raw[[#This Row],[COGS]]) / tbl_raw[[#This Row],[Revenue]], 0)</f>
        <v>0.58849069767441864</v>
      </c>
      <c r="I616" s="5" t="str" cm="1">
        <f t="array" ref="I61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16" s="5">
        <f>_xlfn.XLOOKUP(tbl_raw[[#This Row],[Kategori]], tbl_target[Kategori], tbl_target[Target_Margin], 0)</f>
        <v>0.35</v>
      </c>
      <c r="K616" t="s">
        <v>36</v>
      </c>
      <c r="L616" t="s">
        <v>28</v>
      </c>
      <c r="M616">
        <v>9189450</v>
      </c>
    </row>
    <row r="617" spans="1:13" x14ac:dyDescent="0.3">
      <c r="A617" t="s">
        <v>449</v>
      </c>
      <c r="B617" t="s">
        <v>448</v>
      </c>
      <c r="C617" t="s">
        <v>23</v>
      </c>
      <c r="D617" t="s">
        <v>27</v>
      </c>
      <c r="E617">
        <v>10100000</v>
      </c>
      <c r="F617">
        <v>5399198</v>
      </c>
      <c r="G617">
        <v>4700802</v>
      </c>
      <c r="H617" s="5">
        <f>IFERROR((tbl_raw[[#This Row],[Revenue]]-tbl_raw[[#This Row],[COGS]]) / tbl_raw[[#This Row],[Revenue]], 0)</f>
        <v>0.4654259405940594</v>
      </c>
      <c r="I617" s="5" t="str" cm="1">
        <f t="array" ref="I61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17" s="5">
        <f>_xlfn.XLOOKUP(tbl_raw[[#This Row],[Kategori]], tbl_target[Kategori], tbl_target[Target_Margin], 0)</f>
        <v>0.35</v>
      </c>
      <c r="K617" t="s">
        <v>14</v>
      </c>
      <c r="L617" t="s">
        <v>25</v>
      </c>
      <c r="M617">
        <v>12551684</v>
      </c>
    </row>
    <row r="618" spans="1:13" x14ac:dyDescent="0.3">
      <c r="A618" t="s">
        <v>450</v>
      </c>
      <c r="B618" t="s">
        <v>448</v>
      </c>
      <c r="C618" t="s">
        <v>12</v>
      </c>
      <c r="D618" t="s">
        <v>32</v>
      </c>
      <c r="E618">
        <v>1700000</v>
      </c>
      <c r="F618">
        <v>1012342</v>
      </c>
      <c r="G618">
        <v>687658</v>
      </c>
      <c r="H618" s="5">
        <f>IFERROR((tbl_raw[[#This Row],[Revenue]]-tbl_raw[[#This Row],[COGS]]) / tbl_raw[[#This Row],[Revenue]], 0)</f>
        <v>0.40450470588235293</v>
      </c>
      <c r="I618" s="5" t="str" cm="1">
        <f t="array" ref="I61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18" s="5">
        <f>_xlfn.XLOOKUP(tbl_raw[[#This Row],[Kategori]], tbl_target[Kategori], tbl_target[Target_Margin], 0)</f>
        <v>0.25</v>
      </c>
      <c r="K618" t="s">
        <v>14</v>
      </c>
      <c r="L618" t="s">
        <v>31</v>
      </c>
      <c r="M618">
        <v>1840608</v>
      </c>
    </row>
    <row r="619" spans="1:13" x14ac:dyDescent="0.3">
      <c r="A619" t="s">
        <v>450</v>
      </c>
      <c r="B619" t="s">
        <v>448</v>
      </c>
      <c r="C619" t="s">
        <v>20</v>
      </c>
      <c r="D619" t="s">
        <v>30</v>
      </c>
      <c r="E619">
        <v>9100000</v>
      </c>
      <c r="F619">
        <v>5141144</v>
      </c>
      <c r="G619">
        <v>3958856</v>
      </c>
      <c r="H619" s="5">
        <f>IFERROR((tbl_raw[[#This Row],[Revenue]]-tbl_raw[[#This Row],[COGS]]) / tbl_raw[[#This Row],[Revenue]], 0)</f>
        <v>0.43503912087912089</v>
      </c>
      <c r="I619" s="5" t="str" cm="1">
        <f t="array" ref="I61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19" s="5">
        <f>_xlfn.XLOOKUP(tbl_raw[[#This Row],[Kategori]], tbl_target[Kategori], tbl_target[Target_Margin], 0)</f>
        <v>0.4</v>
      </c>
      <c r="K619" t="s">
        <v>18</v>
      </c>
      <c r="L619" t="s">
        <v>15</v>
      </c>
      <c r="M619">
        <v>9902754</v>
      </c>
    </row>
    <row r="620" spans="1:13" x14ac:dyDescent="0.3">
      <c r="A620" t="s">
        <v>451</v>
      </c>
      <c r="B620" t="s">
        <v>448</v>
      </c>
      <c r="C620" t="s">
        <v>12</v>
      </c>
      <c r="D620" t="s">
        <v>32</v>
      </c>
      <c r="E620">
        <v>11600000</v>
      </c>
      <c r="F620">
        <v>5153494</v>
      </c>
      <c r="G620">
        <v>6446506</v>
      </c>
      <c r="H620" s="5">
        <f>IFERROR((tbl_raw[[#This Row],[Revenue]]-tbl_raw[[#This Row],[COGS]]) / tbl_raw[[#This Row],[Revenue]], 0)</f>
        <v>0.555733275862069</v>
      </c>
      <c r="I620" s="5" t="str" cm="1">
        <f t="array" ref="I62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20" s="5">
        <f>_xlfn.XLOOKUP(tbl_raw[[#This Row],[Kategori]], tbl_target[Kategori], tbl_target[Target_Margin], 0)</f>
        <v>0.25</v>
      </c>
      <c r="K620" t="s">
        <v>36</v>
      </c>
      <c r="L620" t="s">
        <v>31</v>
      </c>
      <c r="M620">
        <v>12124698</v>
      </c>
    </row>
    <row r="621" spans="1:13" x14ac:dyDescent="0.3">
      <c r="A621" t="s">
        <v>451</v>
      </c>
      <c r="B621" t="s">
        <v>448</v>
      </c>
      <c r="C621" t="s">
        <v>23</v>
      </c>
      <c r="D621" t="s">
        <v>27</v>
      </c>
      <c r="E621">
        <v>4700000</v>
      </c>
      <c r="F621">
        <v>2207140</v>
      </c>
      <c r="G621">
        <v>2492860</v>
      </c>
      <c r="H621" s="5">
        <f>IFERROR((tbl_raw[[#This Row],[Revenue]]-tbl_raw[[#This Row],[COGS]]) / tbl_raw[[#This Row],[Revenue]], 0)</f>
        <v>0.53039574468085104</v>
      </c>
      <c r="I621" s="5" t="str" cm="1">
        <f t="array" ref="I62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21" s="5">
        <f>_xlfn.XLOOKUP(tbl_raw[[#This Row],[Kategori]], tbl_target[Kategori], tbl_target[Target_Margin], 0)</f>
        <v>0.35</v>
      </c>
      <c r="K621" t="s">
        <v>22</v>
      </c>
      <c r="L621" t="s">
        <v>34</v>
      </c>
      <c r="M621">
        <v>4285776</v>
      </c>
    </row>
    <row r="622" spans="1:13" x14ac:dyDescent="0.3">
      <c r="A622" t="s">
        <v>452</v>
      </c>
      <c r="B622" t="s">
        <v>448</v>
      </c>
      <c r="C622" t="s">
        <v>20</v>
      </c>
      <c r="D622" t="s">
        <v>21</v>
      </c>
      <c r="E622">
        <v>19600000</v>
      </c>
      <c r="F622">
        <v>8141312</v>
      </c>
      <c r="G622">
        <v>11458688</v>
      </c>
      <c r="H622" s="5">
        <f>IFERROR((tbl_raw[[#This Row],[Revenue]]-tbl_raw[[#This Row],[COGS]]) / tbl_raw[[#This Row],[Revenue]], 0)</f>
        <v>0.5846269387755102</v>
      </c>
      <c r="I622" s="5" t="str" cm="1">
        <f t="array" ref="I62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22" s="5">
        <f>_xlfn.XLOOKUP(tbl_raw[[#This Row],[Kategori]], tbl_target[Kategori], tbl_target[Target_Margin], 0)</f>
        <v>0.4</v>
      </c>
      <c r="K622" t="s">
        <v>18</v>
      </c>
      <c r="L622" t="s">
        <v>28</v>
      </c>
      <c r="M622">
        <v>23488613</v>
      </c>
    </row>
    <row r="623" spans="1:13" x14ac:dyDescent="0.3">
      <c r="A623" t="s">
        <v>453</v>
      </c>
      <c r="B623" t="s">
        <v>448</v>
      </c>
      <c r="C623" t="s">
        <v>23</v>
      </c>
      <c r="D623" t="s">
        <v>58</v>
      </c>
      <c r="E623">
        <v>16600000</v>
      </c>
      <c r="F623">
        <v>7099039</v>
      </c>
      <c r="G623">
        <v>9500961</v>
      </c>
      <c r="H623" s="5">
        <f>IFERROR((tbl_raw[[#This Row],[Revenue]]-tbl_raw[[#This Row],[COGS]]) / tbl_raw[[#This Row],[Revenue]], 0)</f>
        <v>0.57234704819277105</v>
      </c>
      <c r="I623" s="5" t="str" cm="1">
        <f t="array" ref="I62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23" s="5">
        <f>_xlfn.XLOOKUP(tbl_raw[[#This Row],[Kategori]], tbl_target[Kategori], tbl_target[Target_Margin], 0)</f>
        <v>0.35</v>
      </c>
      <c r="K623" t="s">
        <v>14</v>
      </c>
      <c r="L623" t="s">
        <v>31</v>
      </c>
      <c r="M623">
        <v>18413385</v>
      </c>
    </row>
    <row r="624" spans="1:13" x14ac:dyDescent="0.3">
      <c r="A624" t="s">
        <v>453</v>
      </c>
      <c r="B624" t="s">
        <v>448</v>
      </c>
      <c r="C624" t="s">
        <v>12</v>
      </c>
      <c r="D624" t="s">
        <v>17</v>
      </c>
      <c r="E624">
        <v>9500000</v>
      </c>
      <c r="F624">
        <v>5572086</v>
      </c>
      <c r="G624">
        <v>3927914</v>
      </c>
      <c r="H624" s="5">
        <f>IFERROR((tbl_raw[[#This Row],[Revenue]]-tbl_raw[[#This Row],[COGS]]) / tbl_raw[[#This Row],[Revenue]], 0)</f>
        <v>0.41346463157894736</v>
      </c>
      <c r="I624" s="5" t="str" cm="1">
        <f t="array" ref="I62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24" s="5">
        <f>_xlfn.XLOOKUP(tbl_raw[[#This Row],[Kategori]], tbl_target[Kategori], tbl_target[Target_Margin], 0)</f>
        <v>0.25</v>
      </c>
      <c r="K624" t="s">
        <v>18</v>
      </c>
      <c r="L624" t="s">
        <v>49</v>
      </c>
      <c r="M624">
        <v>9374908</v>
      </c>
    </row>
    <row r="625" spans="1:13" x14ac:dyDescent="0.3">
      <c r="A625" t="s">
        <v>454</v>
      </c>
      <c r="B625" t="s">
        <v>448</v>
      </c>
      <c r="C625" t="s">
        <v>23</v>
      </c>
      <c r="D625" t="s">
        <v>27</v>
      </c>
      <c r="E625">
        <v>5100000</v>
      </c>
      <c r="F625">
        <v>1803260</v>
      </c>
      <c r="G625">
        <v>3296740</v>
      </c>
      <c r="H625" s="5">
        <f>IFERROR((tbl_raw[[#This Row],[Revenue]]-tbl_raw[[#This Row],[COGS]]) / tbl_raw[[#This Row],[Revenue]], 0)</f>
        <v>0.64641960784313723</v>
      </c>
      <c r="I625" s="5" t="str" cm="1">
        <f t="array" ref="I62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25" s="5">
        <f>_xlfn.XLOOKUP(tbl_raw[[#This Row],[Kategori]], tbl_target[Kategori], tbl_target[Target_Margin], 0)</f>
        <v>0.35</v>
      </c>
      <c r="K625" t="s">
        <v>48</v>
      </c>
      <c r="L625" t="s">
        <v>15</v>
      </c>
      <c r="M625">
        <v>5698308</v>
      </c>
    </row>
    <row r="626" spans="1:13" x14ac:dyDescent="0.3">
      <c r="A626" t="s">
        <v>454</v>
      </c>
      <c r="B626" t="s">
        <v>448</v>
      </c>
      <c r="C626" t="s">
        <v>23</v>
      </c>
      <c r="D626" t="s">
        <v>58</v>
      </c>
      <c r="E626">
        <v>9800000</v>
      </c>
      <c r="F626">
        <v>3464177</v>
      </c>
      <c r="G626">
        <v>6335823</v>
      </c>
      <c r="H626" s="5">
        <f>IFERROR((tbl_raw[[#This Row],[Revenue]]-tbl_raw[[#This Row],[COGS]]) / tbl_raw[[#This Row],[Revenue]], 0)</f>
        <v>0.64651255102040817</v>
      </c>
      <c r="I626" s="5" t="str" cm="1">
        <f t="array" ref="I62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26" s="5">
        <f>_xlfn.XLOOKUP(tbl_raw[[#This Row],[Kategori]], tbl_target[Kategori], tbl_target[Target_Margin], 0)</f>
        <v>0.35</v>
      </c>
      <c r="K626" t="s">
        <v>48</v>
      </c>
      <c r="L626" t="s">
        <v>15</v>
      </c>
      <c r="M626">
        <v>11717738</v>
      </c>
    </row>
    <row r="627" spans="1:13" x14ac:dyDescent="0.3">
      <c r="A627" t="s">
        <v>455</v>
      </c>
      <c r="B627" t="s">
        <v>448</v>
      </c>
      <c r="C627" t="s">
        <v>23</v>
      </c>
      <c r="D627" t="s">
        <v>24</v>
      </c>
      <c r="E627">
        <v>4300000</v>
      </c>
      <c r="F627">
        <v>1629226</v>
      </c>
      <c r="G627">
        <v>2670774</v>
      </c>
      <c r="H627" s="5">
        <f>IFERROR((tbl_raw[[#This Row],[Revenue]]-tbl_raw[[#This Row],[COGS]]) / tbl_raw[[#This Row],[Revenue]], 0)</f>
        <v>0.62111023255813957</v>
      </c>
      <c r="I627" s="5" t="str" cm="1">
        <f t="array" ref="I62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27" s="5">
        <f>_xlfn.XLOOKUP(tbl_raw[[#This Row],[Kategori]], tbl_target[Kategori], tbl_target[Target_Margin], 0)</f>
        <v>0.35</v>
      </c>
      <c r="K627" t="s">
        <v>36</v>
      </c>
      <c r="L627" t="s">
        <v>34</v>
      </c>
      <c r="M627">
        <v>3778419</v>
      </c>
    </row>
    <row r="628" spans="1:13" x14ac:dyDescent="0.3">
      <c r="A628" t="s">
        <v>456</v>
      </c>
      <c r="B628" t="s">
        <v>448</v>
      </c>
      <c r="C628" t="s">
        <v>20</v>
      </c>
      <c r="D628" t="s">
        <v>30</v>
      </c>
      <c r="E628">
        <v>19300000</v>
      </c>
      <c r="F628">
        <v>10422673</v>
      </c>
      <c r="G628">
        <v>8877327</v>
      </c>
      <c r="H628" s="5">
        <f>IFERROR((tbl_raw[[#This Row],[Revenue]]-tbl_raw[[#This Row],[COGS]]) / tbl_raw[[#This Row],[Revenue]], 0)</f>
        <v>0.45996512953367874</v>
      </c>
      <c r="I628" s="5" t="str" cm="1">
        <f t="array" ref="I62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28" s="5">
        <f>_xlfn.XLOOKUP(tbl_raw[[#This Row],[Kategori]], tbl_target[Kategori], tbl_target[Target_Margin], 0)</f>
        <v>0.4</v>
      </c>
      <c r="K628" t="s">
        <v>18</v>
      </c>
      <c r="L628" t="s">
        <v>19</v>
      </c>
      <c r="M628">
        <v>19887677</v>
      </c>
    </row>
    <row r="629" spans="1:13" x14ac:dyDescent="0.3">
      <c r="A629" t="s">
        <v>457</v>
      </c>
      <c r="B629" t="s">
        <v>448</v>
      </c>
      <c r="C629" t="s">
        <v>12</v>
      </c>
      <c r="D629" t="s">
        <v>32</v>
      </c>
      <c r="E629">
        <v>900000</v>
      </c>
      <c r="F629">
        <v>516536</v>
      </c>
      <c r="G629">
        <v>383464</v>
      </c>
      <c r="H629" s="5">
        <f>IFERROR((tbl_raw[[#This Row],[Revenue]]-tbl_raw[[#This Row],[COGS]]) / tbl_raw[[#This Row],[Revenue]], 0)</f>
        <v>0.42607111111111112</v>
      </c>
      <c r="I629" s="5" t="str" cm="1">
        <f t="array" ref="I62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29" s="5">
        <f>_xlfn.XLOOKUP(tbl_raw[[#This Row],[Kategori]], tbl_target[Kategori], tbl_target[Target_Margin], 0)</f>
        <v>0.25</v>
      </c>
      <c r="K629" t="s">
        <v>14</v>
      </c>
      <c r="L629" t="s">
        <v>28</v>
      </c>
      <c r="M629">
        <v>918292</v>
      </c>
    </row>
    <row r="630" spans="1:13" x14ac:dyDescent="0.3">
      <c r="A630" t="s">
        <v>458</v>
      </c>
      <c r="B630" t="s">
        <v>448</v>
      </c>
      <c r="C630" t="s">
        <v>23</v>
      </c>
      <c r="D630" t="s">
        <v>24</v>
      </c>
      <c r="E630">
        <v>17000000</v>
      </c>
      <c r="F630">
        <v>9683232</v>
      </c>
      <c r="G630">
        <v>7316768</v>
      </c>
      <c r="H630" s="5">
        <f>IFERROR((tbl_raw[[#This Row],[Revenue]]-tbl_raw[[#This Row],[COGS]]) / tbl_raw[[#This Row],[Revenue]], 0)</f>
        <v>0.43039811764705882</v>
      </c>
      <c r="I630" s="5" t="str" cm="1">
        <f t="array" ref="I63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30" s="5">
        <f>_xlfn.XLOOKUP(tbl_raw[[#This Row],[Kategori]], tbl_target[Kategori], tbl_target[Target_Margin], 0)</f>
        <v>0.35</v>
      </c>
      <c r="K630" t="s">
        <v>48</v>
      </c>
      <c r="L630" t="s">
        <v>15</v>
      </c>
      <c r="M630">
        <v>14218359</v>
      </c>
    </row>
    <row r="631" spans="1:13" x14ac:dyDescent="0.3">
      <c r="A631" t="s">
        <v>458</v>
      </c>
      <c r="B631" t="s">
        <v>448</v>
      </c>
      <c r="C631" t="s">
        <v>23</v>
      </c>
      <c r="D631" t="s">
        <v>24</v>
      </c>
      <c r="E631">
        <v>2100000</v>
      </c>
      <c r="F631">
        <v>839298</v>
      </c>
      <c r="G631">
        <v>1260702</v>
      </c>
      <c r="H631" s="5">
        <f>IFERROR((tbl_raw[[#This Row],[Revenue]]-tbl_raw[[#This Row],[COGS]]) / tbl_raw[[#This Row],[Revenue]], 0)</f>
        <v>0.60033428571428571</v>
      </c>
      <c r="I631" s="5" t="str" cm="1">
        <f t="array" ref="I63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31" s="5">
        <f>_xlfn.XLOOKUP(tbl_raw[[#This Row],[Kategori]], tbl_target[Kategori], tbl_target[Target_Margin], 0)</f>
        <v>0.35</v>
      </c>
      <c r="K631" t="s">
        <v>22</v>
      </c>
      <c r="L631" t="s">
        <v>34</v>
      </c>
      <c r="M631">
        <v>2299833</v>
      </c>
    </row>
    <row r="632" spans="1:13" x14ac:dyDescent="0.3">
      <c r="A632" t="s">
        <v>459</v>
      </c>
      <c r="B632" t="s">
        <v>448</v>
      </c>
      <c r="C632" t="s">
        <v>12</v>
      </c>
      <c r="D632" t="s">
        <v>17</v>
      </c>
      <c r="E632">
        <v>14600000</v>
      </c>
      <c r="F632">
        <v>7119905</v>
      </c>
      <c r="G632">
        <v>7480095</v>
      </c>
      <c r="H632" s="5">
        <f>IFERROR((tbl_raw[[#This Row],[Revenue]]-tbl_raw[[#This Row],[COGS]]) / tbl_raw[[#This Row],[Revenue]], 0)</f>
        <v>0.5123352739726027</v>
      </c>
      <c r="I632" s="5" t="str" cm="1">
        <f t="array" ref="I63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32" s="5">
        <f>_xlfn.XLOOKUP(tbl_raw[[#This Row],[Kategori]], tbl_target[Kategori], tbl_target[Target_Margin], 0)</f>
        <v>0.25</v>
      </c>
      <c r="K632" t="s">
        <v>48</v>
      </c>
      <c r="L632" t="s">
        <v>19</v>
      </c>
      <c r="M632">
        <v>13406119</v>
      </c>
    </row>
    <row r="633" spans="1:13" x14ac:dyDescent="0.3">
      <c r="A633" t="s">
        <v>460</v>
      </c>
      <c r="B633" t="s">
        <v>448</v>
      </c>
      <c r="C633" t="s">
        <v>12</v>
      </c>
      <c r="D633" t="s">
        <v>13</v>
      </c>
      <c r="E633">
        <v>1700000</v>
      </c>
      <c r="F633">
        <v>822074</v>
      </c>
      <c r="G633">
        <v>877926</v>
      </c>
      <c r="H633" s="5">
        <f>IFERROR((tbl_raw[[#This Row],[Revenue]]-tbl_raw[[#This Row],[COGS]]) / tbl_raw[[#This Row],[Revenue]], 0)</f>
        <v>0.51642705882352946</v>
      </c>
      <c r="I633" s="5" t="str" cm="1">
        <f t="array" ref="I63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33" s="5">
        <f>_xlfn.XLOOKUP(tbl_raw[[#This Row],[Kategori]], tbl_target[Kategori], tbl_target[Target_Margin], 0)</f>
        <v>0.25</v>
      </c>
      <c r="K633" t="s">
        <v>18</v>
      </c>
      <c r="L633" t="s">
        <v>34</v>
      </c>
      <c r="M633">
        <v>1400126</v>
      </c>
    </row>
    <row r="634" spans="1:13" x14ac:dyDescent="0.3">
      <c r="A634" t="s">
        <v>461</v>
      </c>
      <c r="B634" t="s">
        <v>448</v>
      </c>
      <c r="C634" t="s">
        <v>23</v>
      </c>
      <c r="D634" t="s">
        <v>24</v>
      </c>
      <c r="E634">
        <v>3700000</v>
      </c>
      <c r="F634">
        <v>1382489</v>
      </c>
      <c r="G634">
        <v>2317511</v>
      </c>
      <c r="H634" s="5">
        <f>IFERROR((tbl_raw[[#This Row],[Revenue]]-tbl_raw[[#This Row],[COGS]]) / tbl_raw[[#This Row],[Revenue]], 0)</f>
        <v>0.62635432432432436</v>
      </c>
      <c r="I634" s="5" t="str" cm="1">
        <f t="array" ref="I63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34" s="5">
        <f>_xlfn.XLOOKUP(tbl_raw[[#This Row],[Kategori]], tbl_target[Kategori], tbl_target[Target_Margin], 0)</f>
        <v>0.35</v>
      </c>
      <c r="K634" t="s">
        <v>22</v>
      </c>
      <c r="L634" t="s">
        <v>31</v>
      </c>
      <c r="M634">
        <v>4763912</v>
      </c>
    </row>
    <row r="635" spans="1:13" x14ac:dyDescent="0.3">
      <c r="A635" t="s">
        <v>461</v>
      </c>
      <c r="B635" t="s">
        <v>448</v>
      </c>
      <c r="C635" t="s">
        <v>12</v>
      </c>
      <c r="D635" t="s">
        <v>17</v>
      </c>
      <c r="E635">
        <v>19600000</v>
      </c>
      <c r="F635">
        <v>7917943</v>
      </c>
      <c r="G635">
        <v>11682057</v>
      </c>
      <c r="H635" s="5">
        <f>IFERROR((tbl_raw[[#This Row],[Revenue]]-tbl_raw[[#This Row],[COGS]]) / tbl_raw[[#This Row],[Revenue]], 0)</f>
        <v>0.59602331632653061</v>
      </c>
      <c r="I635" s="5" t="str" cm="1">
        <f t="array" ref="I63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35" s="5">
        <f>_xlfn.XLOOKUP(tbl_raw[[#This Row],[Kategori]], tbl_target[Kategori], tbl_target[Target_Margin], 0)</f>
        <v>0.25</v>
      </c>
      <c r="K635" t="s">
        <v>48</v>
      </c>
      <c r="L635" t="s">
        <v>25</v>
      </c>
      <c r="M635">
        <v>21184264</v>
      </c>
    </row>
    <row r="636" spans="1:13" x14ac:dyDescent="0.3">
      <c r="A636" t="s">
        <v>462</v>
      </c>
      <c r="B636" t="s">
        <v>448</v>
      </c>
      <c r="C636" t="s">
        <v>23</v>
      </c>
      <c r="D636" t="s">
        <v>24</v>
      </c>
      <c r="E636">
        <v>16500000</v>
      </c>
      <c r="F636">
        <v>9043671</v>
      </c>
      <c r="G636">
        <v>7456329</v>
      </c>
      <c r="H636" s="5">
        <f>IFERROR((tbl_raw[[#This Row],[Revenue]]-tbl_raw[[#This Row],[COGS]]) / tbl_raw[[#This Row],[Revenue]], 0)</f>
        <v>0.45189872727272729</v>
      </c>
      <c r="I636" s="5" t="str" cm="1">
        <f t="array" ref="I63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36" s="5">
        <f>_xlfn.XLOOKUP(tbl_raw[[#This Row],[Kategori]], tbl_target[Kategori], tbl_target[Target_Margin], 0)</f>
        <v>0.35</v>
      </c>
      <c r="K636" t="s">
        <v>18</v>
      </c>
      <c r="L636" t="s">
        <v>49</v>
      </c>
      <c r="M636">
        <v>16241617</v>
      </c>
    </row>
    <row r="637" spans="1:13" x14ac:dyDescent="0.3">
      <c r="A637" t="s">
        <v>462</v>
      </c>
      <c r="B637" t="s">
        <v>448</v>
      </c>
      <c r="C637" t="s">
        <v>23</v>
      </c>
      <c r="D637" t="s">
        <v>58</v>
      </c>
      <c r="E637">
        <v>8600000</v>
      </c>
      <c r="F637">
        <v>3158871</v>
      </c>
      <c r="G637">
        <v>5441129</v>
      </c>
      <c r="H637" s="5">
        <f>IFERROR((tbl_raw[[#This Row],[Revenue]]-tbl_raw[[#This Row],[COGS]]) / tbl_raw[[#This Row],[Revenue]], 0)</f>
        <v>0.63268941860465111</v>
      </c>
      <c r="I637" s="5" t="str" cm="1">
        <f t="array" ref="I63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37" s="5">
        <f>_xlfn.XLOOKUP(tbl_raw[[#This Row],[Kategori]], tbl_target[Kategori], tbl_target[Target_Margin], 0)</f>
        <v>0.35</v>
      </c>
      <c r="K637" t="s">
        <v>18</v>
      </c>
      <c r="L637" t="s">
        <v>41</v>
      </c>
      <c r="M637">
        <v>6903949</v>
      </c>
    </row>
    <row r="638" spans="1:13" x14ac:dyDescent="0.3">
      <c r="A638" t="s">
        <v>462</v>
      </c>
      <c r="B638" t="s">
        <v>448</v>
      </c>
      <c r="C638" t="s">
        <v>12</v>
      </c>
      <c r="D638" t="s">
        <v>17</v>
      </c>
      <c r="E638">
        <v>19600000</v>
      </c>
      <c r="F638">
        <v>6891190</v>
      </c>
      <c r="G638">
        <v>12708810</v>
      </c>
      <c r="H638" s="5">
        <f>IFERROR((tbl_raw[[#This Row],[Revenue]]-tbl_raw[[#This Row],[COGS]]) / tbl_raw[[#This Row],[Revenue]], 0)</f>
        <v>0.6484086734693878</v>
      </c>
      <c r="I638" s="5" t="str" cm="1">
        <f t="array" ref="I63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38" s="5">
        <f>_xlfn.XLOOKUP(tbl_raw[[#This Row],[Kategori]], tbl_target[Kategori], tbl_target[Target_Margin], 0)</f>
        <v>0.25</v>
      </c>
      <c r="K638" t="s">
        <v>14</v>
      </c>
      <c r="L638" t="s">
        <v>15</v>
      </c>
      <c r="M638">
        <v>19269682</v>
      </c>
    </row>
    <row r="639" spans="1:13" x14ac:dyDescent="0.3">
      <c r="A639" t="s">
        <v>463</v>
      </c>
      <c r="B639" t="s">
        <v>448</v>
      </c>
      <c r="C639" t="s">
        <v>12</v>
      </c>
      <c r="D639" t="s">
        <v>32</v>
      </c>
      <c r="E639">
        <v>6100000</v>
      </c>
      <c r="F639">
        <v>3639402</v>
      </c>
      <c r="G639">
        <v>2460598</v>
      </c>
      <c r="H639" s="5">
        <f>IFERROR((tbl_raw[[#This Row],[Revenue]]-tbl_raw[[#This Row],[COGS]]) / tbl_raw[[#This Row],[Revenue]], 0)</f>
        <v>0.40337672131147539</v>
      </c>
      <c r="I639" s="5" t="str" cm="1">
        <f t="array" ref="I63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39" s="5">
        <f>_xlfn.XLOOKUP(tbl_raw[[#This Row],[Kategori]], tbl_target[Kategori], tbl_target[Target_Margin], 0)</f>
        <v>0.25</v>
      </c>
      <c r="K639" t="s">
        <v>48</v>
      </c>
      <c r="L639" t="s">
        <v>31</v>
      </c>
      <c r="M639">
        <v>6562827</v>
      </c>
    </row>
    <row r="640" spans="1:13" x14ac:dyDescent="0.3">
      <c r="A640" t="s">
        <v>464</v>
      </c>
      <c r="B640" t="s">
        <v>448</v>
      </c>
      <c r="C640" t="s">
        <v>23</v>
      </c>
      <c r="D640" t="s">
        <v>58</v>
      </c>
      <c r="E640">
        <v>9300000</v>
      </c>
      <c r="F640">
        <v>4305583</v>
      </c>
      <c r="G640">
        <v>4994417</v>
      </c>
      <c r="H640" s="5">
        <f>IFERROR((tbl_raw[[#This Row],[Revenue]]-tbl_raw[[#This Row],[COGS]]) / tbl_raw[[#This Row],[Revenue]], 0)</f>
        <v>0.53703408602150537</v>
      </c>
      <c r="I640" s="5" t="str" cm="1">
        <f t="array" ref="I64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40" s="5">
        <f>_xlfn.XLOOKUP(tbl_raw[[#This Row],[Kategori]], tbl_target[Kategori], tbl_target[Target_Margin], 0)</f>
        <v>0.35</v>
      </c>
      <c r="K640" t="s">
        <v>36</v>
      </c>
      <c r="L640" t="s">
        <v>49</v>
      </c>
      <c r="M640">
        <v>9977469</v>
      </c>
    </row>
    <row r="641" spans="1:13" x14ac:dyDescent="0.3">
      <c r="A641" t="s">
        <v>465</v>
      </c>
      <c r="B641" t="s">
        <v>448</v>
      </c>
      <c r="C641" t="s">
        <v>23</v>
      </c>
      <c r="D641" t="s">
        <v>58</v>
      </c>
      <c r="E641">
        <v>8800000</v>
      </c>
      <c r="F641">
        <v>5229950</v>
      </c>
      <c r="G641">
        <v>3570050</v>
      </c>
      <c r="H641" s="5">
        <f>IFERROR((tbl_raw[[#This Row],[Revenue]]-tbl_raw[[#This Row],[COGS]]) / tbl_raw[[#This Row],[Revenue]], 0)</f>
        <v>0.40568749999999998</v>
      </c>
      <c r="I641" s="5" t="str" cm="1">
        <f t="array" ref="I64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41" s="5">
        <f>_xlfn.XLOOKUP(tbl_raw[[#This Row],[Kategori]], tbl_target[Kategori], tbl_target[Target_Margin], 0)</f>
        <v>0.35</v>
      </c>
      <c r="K641" t="s">
        <v>14</v>
      </c>
      <c r="L641" t="s">
        <v>28</v>
      </c>
      <c r="M641">
        <v>8706388</v>
      </c>
    </row>
    <row r="642" spans="1:13" x14ac:dyDescent="0.3">
      <c r="A642" t="s">
        <v>466</v>
      </c>
      <c r="B642" t="s">
        <v>448</v>
      </c>
      <c r="C642" t="s">
        <v>12</v>
      </c>
      <c r="D642" t="s">
        <v>32</v>
      </c>
      <c r="E642">
        <v>6700000</v>
      </c>
      <c r="F642">
        <v>2583378</v>
      </c>
      <c r="G642">
        <v>4116622</v>
      </c>
      <c r="H642" s="5">
        <f>IFERROR((tbl_raw[[#This Row],[Revenue]]-tbl_raw[[#This Row],[COGS]]) / tbl_raw[[#This Row],[Revenue]], 0)</f>
        <v>0.61442119402985074</v>
      </c>
      <c r="I642" s="5" t="str" cm="1">
        <f t="array" ref="I64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42" s="5">
        <f>_xlfn.XLOOKUP(tbl_raw[[#This Row],[Kategori]], tbl_target[Kategori], tbl_target[Target_Margin], 0)</f>
        <v>0.25</v>
      </c>
      <c r="K642" t="s">
        <v>36</v>
      </c>
      <c r="L642" t="s">
        <v>28</v>
      </c>
      <c r="M642">
        <v>8376686</v>
      </c>
    </row>
    <row r="643" spans="1:13" x14ac:dyDescent="0.3">
      <c r="A643" t="s">
        <v>467</v>
      </c>
      <c r="B643" t="s">
        <v>448</v>
      </c>
      <c r="C643" t="s">
        <v>12</v>
      </c>
      <c r="D643" t="s">
        <v>13</v>
      </c>
      <c r="E643">
        <v>6700000</v>
      </c>
      <c r="F643">
        <v>3667164</v>
      </c>
      <c r="G643">
        <v>3032836</v>
      </c>
      <c r="H643" s="5">
        <f>IFERROR((tbl_raw[[#This Row],[Revenue]]-tbl_raw[[#This Row],[COGS]]) / tbl_raw[[#This Row],[Revenue]], 0)</f>
        <v>0.4526620895522388</v>
      </c>
      <c r="I643" s="5" t="str" cm="1">
        <f t="array" ref="I64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43" s="5">
        <f>_xlfn.XLOOKUP(tbl_raw[[#This Row],[Kategori]], tbl_target[Kategori], tbl_target[Target_Margin], 0)</f>
        <v>0.25</v>
      </c>
      <c r="K643" t="s">
        <v>14</v>
      </c>
      <c r="L643" t="s">
        <v>25</v>
      </c>
      <c r="M643">
        <v>8226591</v>
      </c>
    </row>
    <row r="644" spans="1:13" x14ac:dyDescent="0.3">
      <c r="A644" t="s">
        <v>468</v>
      </c>
      <c r="B644" t="s">
        <v>469</v>
      </c>
      <c r="C644" t="s">
        <v>23</v>
      </c>
      <c r="D644" t="s">
        <v>58</v>
      </c>
      <c r="E644">
        <v>1300000</v>
      </c>
      <c r="F644">
        <v>747019</v>
      </c>
      <c r="G644">
        <v>552981</v>
      </c>
      <c r="H644" s="5">
        <f>IFERROR((tbl_raw[[#This Row],[Revenue]]-tbl_raw[[#This Row],[COGS]]) / tbl_raw[[#This Row],[Revenue]], 0)</f>
        <v>0.42537000000000003</v>
      </c>
      <c r="I644" s="5" t="str" cm="1">
        <f t="array" ref="I64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44" s="5">
        <f>_xlfn.XLOOKUP(tbl_raw[[#This Row],[Kategori]], tbl_target[Kategori], tbl_target[Target_Margin], 0)</f>
        <v>0.35</v>
      </c>
      <c r="K644" t="s">
        <v>18</v>
      </c>
      <c r="L644" t="s">
        <v>41</v>
      </c>
      <c r="M644">
        <v>1236332</v>
      </c>
    </row>
    <row r="645" spans="1:13" x14ac:dyDescent="0.3">
      <c r="A645" t="s">
        <v>470</v>
      </c>
      <c r="B645" t="s">
        <v>469</v>
      </c>
      <c r="C645" t="s">
        <v>12</v>
      </c>
      <c r="D645" t="s">
        <v>13</v>
      </c>
      <c r="E645">
        <v>16900000</v>
      </c>
      <c r="F645">
        <v>8469688</v>
      </c>
      <c r="G645">
        <v>8430312</v>
      </c>
      <c r="H645" s="5">
        <f>IFERROR((tbl_raw[[#This Row],[Revenue]]-tbl_raw[[#This Row],[COGS]]) / tbl_raw[[#This Row],[Revenue]], 0)</f>
        <v>0.49883502958579884</v>
      </c>
      <c r="I645" s="5" t="str" cm="1">
        <f t="array" ref="I64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45" s="5">
        <f>_xlfn.XLOOKUP(tbl_raw[[#This Row],[Kategori]], tbl_target[Kategori], tbl_target[Target_Margin], 0)</f>
        <v>0.25</v>
      </c>
      <c r="K645" t="s">
        <v>36</v>
      </c>
      <c r="L645" t="s">
        <v>31</v>
      </c>
      <c r="M645">
        <v>18592625</v>
      </c>
    </row>
    <row r="646" spans="1:13" x14ac:dyDescent="0.3">
      <c r="A646" t="s">
        <v>471</v>
      </c>
      <c r="B646" t="s">
        <v>469</v>
      </c>
      <c r="C646" t="s">
        <v>20</v>
      </c>
      <c r="D646" t="s">
        <v>21</v>
      </c>
      <c r="E646">
        <v>1100000</v>
      </c>
      <c r="F646">
        <v>624617</v>
      </c>
      <c r="G646">
        <v>475383</v>
      </c>
      <c r="H646" s="5">
        <f>IFERROR((tbl_raw[[#This Row],[Revenue]]-tbl_raw[[#This Row],[COGS]]) / tbl_raw[[#This Row],[Revenue]], 0)</f>
        <v>0.43216636363636363</v>
      </c>
      <c r="I646" s="5" t="str" cm="1">
        <f t="array" ref="I64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46" s="5">
        <f>_xlfn.XLOOKUP(tbl_raw[[#This Row],[Kategori]], tbl_target[Kategori], tbl_target[Target_Margin], 0)</f>
        <v>0.4</v>
      </c>
      <c r="K646" t="s">
        <v>48</v>
      </c>
      <c r="L646" t="s">
        <v>28</v>
      </c>
      <c r="M646">
        <v>918160</v>
      </c>
    </row>
    <row r="647" spans="1:13" x14ac:dyDescent="0.3">
      <c r="A647" t="s">
        <v>471</v>
      </c>
      <c r="B647" t="s">
        <v>469</v>
      </c>
      <c r="C647" t="s">
        <v>12</v>
      </c>
      <c r="D647" t="s">
        <v>13</v>
      </c>
      <c r="E647">
        <v>7000000</v>
      </c>
      <c r="F647">
        <v>3177257</v>
      </c>
      <c r="G647">
        <v>3822743</v>
      </c>
      <c r="H647" s="5">
        <f>IFERROR((tbl_raw[[#This Row],[Revenue]]-tbl_raw[[#This Row],[COGS]]) / tbl_raw[[#This Row],[Revenue]], 0)</f>
        <v>0.54610614285714287</v>
      </c>
      <c r="I647" s="5" t="str" cm="1">
        <f t="array" ref="I64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47" s="5">
        <f>_xlfn.XLOOKUP(tbl_raw[[#This Row],[Kategori]], tbl_target[Kategori], tbl_target[Target_Margin], 0)</f>
        <v>0.25</v>
      </c>
      <c r="K647" t="s">
        <v>48</v>
      </c>
      <c r="L647" t="s">
        <v>15</v>
      </c>
      <c r="M647">
        <v>8770840</v>
      </c>
    </row>
    <row r="648" spans="1:13" x14ac:dyDescent="0.3">
      <c r="A648" t="s">
        <v>471</v>
      </c>
      <c r="B648" t="s">
        <v>469</v>
      </c>
      <c r="C648" t="s">
        <v>20</v>
      </c>
      <c r="D648" t="s">
        <v>30</v>
      </c>
      <c r="E648">
        <v>7700000</v>
      </c>
      <c r="F648">
        <v>4288926</v>
      </c>
      <c r="G648">
        <v>3411074</v>
      </c>
      <c r="H648" s="5">
        <f>IFERROR((tbl_raw[[#This Row],[Revenue]]-tbl_raw[[#This Row],[COGS]]) / tbl_raw[[#This Row],[Revenue]], 0)</f>
        <v>0.44299662337662338</v>
      </c>
      <c r="I648" s="5" t="str" cm="1">
        <f t="array" ref="I64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48" s="5">
        <f>_xlfn.XLOOKUP(tbl_raw[[#This Row],[Kategori]], tbl_target[Kategori], tbl_target[Target_Margin], 0)</f>
        <v>0.4</v>
      </c>
      <c r="K648" t="s">
        <v>36</v>
      </c>
      <c r="L648" t="s">
        <v>31</v>
      </c>
      <c r="M648">
        <v>9614415</v>
      </c>
    </row>
    <row r="649" spans="1:13" x14ac:dyDescent="0.3">
      <c r="A649" t="s">
        <v>472</v>
      </c>
      <c r="B649" t="s">
        <v>469</v>
      </c>
      <c r="C649" t="s">
        <v>20</v>
      </c>
      <c r="D649" t="s">
        <v>30</v>
      </c>
      <c r="E649">
        <v>2300000</v>
      </c>
      <c r="F649">
        <v>1363042</v>
      </c>
      <c r="G649">
        <v>936958</v>
      </c>
      <c r="H649" s="5">
        <f>IFERROR((tbl_raw[[#This Row],[Revenue]]-tbl_raw[[#This Row],[COGS]]) / tbl_raw[[#This Row],[Revenue]], 0)</f>
        <v>0.40737304347826087</v>
      </c>
      <c r="I649" s="5" t="str" cm="1">
        <f t="array" ref="I64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49" s="5">
        <f>_xlfn.XLOOKUP(tbl_raw[[#This Row],[Kategori]], tbl_target[Kategori], tbl_target[Target_Margin], 0)</f>
        <v>0.4</v>
      </c>
      <c r="K649" t="s">
        <v>18</v>
      </c>
      <c r="L649" t="s">
        <v>28</v>
      </c>
      <c r="M649">
        <v>2907287</v>
      </c>
    </row>
    <row r="650" spans="1:13" x14ac:dyDescent="0.3">
      <c r="A650" t="s">
        <v>472</v>
      </c>
      <c r="B650" t="s">
        <v>469</v>
      </c>
      <c r="C650" t="s">
        <v>20</v>
      </c>
      <c r="D650" t="s">
        <v>40</v>
      </c>
      <c r="E650">
        <v>4600000</v>
      </c>
      <c r="F650">
        <v>2758365</v>
      </c>
      <c r="G650">
        <v>1841635</v>
      </c>
      <c r="H650" s="5">
        <f>IFERROR((tbl_raw[[#This Row],[Revenue]]-tbl_raw[[#This Row],[COGS]]) / tbl_raw[[#This Row],[Revenue]], 0)</f>
        <v>0.40035543478260871</v>
      </c>
      <c r="I650" s="5" t="str" cm="1">
        <f t="array" ref="I65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50" s="5">
        <f>_xlfn.XLOOKUP(tbl_raw[[#This Row],[Kategori]], tbl_target[Kategori], tbl_target[Target_Margin], 0)</f>
        <v>0.4</v>
      </c>
      <c r="K650" t="s">
        <v>36</v>
      </c>
      <c r="L650" t="s">
        <v>31</v>
      </c>
      <c r="M650">
        <v>5688205</v>
      </c>
    </row>
    <row r="651" spans="1:13" x14ac:dyDescent="0.3">
      <c r="A651" t="s">
        <v>473</v>
      </c>
      <c r="B651" t="s">
        <v>469</v>
      </c>
      <c r="C651" t="s">
        <v>20</v>
      </c>
      <c r="D651" t="s">
        <v>30</v>
      </c>
      <c r="E651">
        <v>5800000</v>
      </c>
      <c r="F651">
        <v>3081119</v>
      </c>
      <c r="G651">
        <v>2718881</v>
      </c>
      <c r="H651" s="5">
        <f>IFERROR((tbl_raw[[#This Row],[Revenue]]-tbl_raw[[#This Row],[COGS]]) / tbl_raw[[#This Row],[Revenue]], 0)</f>
        <v>0.46877258620689655</v>
      </c>
      <c r="I651" s="5" t="str" cm="1">
        <f t="array" ref="I65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51" s="5">
        <f>_xlfn.XLOOKUP(tbl_raw[[#This Row],[Kategori]], tbl_target[Kategori], tbl_target[Target_Margin], 0)</f>
        <v>0.4</v>
      </c>
      <c r="K651" t="s">
        <v>22</v>
      </c>
      <c r="L651" t="s">
        <v>15</v>
      </c>
      <c r="M651">
        <v>4766897</v>
      </c>
    </row>
    <row r="652" spans="1:13" x14ac:dyDescent="0.3">
      <c r="A652" t="s">
        <v>474</v>
      </c>
      <c r="B652" t="s">
        <v>469</v>
      </c>
      <c r="C652" t="s">
        <v>23</v>
      </c>
      <c r="D652" t="s">
        <v>24</v>
      </c>
      <c r="E652">
        <v>9200000</v>
      </c>
      <c r="F652">
        <v>4975519</v>
      </c>
      <c r="G652">
        <v>4224481</v>
      </c>
      <c r="H652" s="5">
        <f>IFERROR((tbl_raw[[#This Row],[Revenue]]-tbl_raw[[#This Row],[COGS]]) / tbl_raw[[#This Row],[Revenue]], 0)</f>
        <v>0.45918271739130434</v>
      </c>
      <c r="I652" s="5" t="str" cm="1">
        <f t="array" ref="I65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52" s="5">
        <f>_xlfn.XLOOKUP(tbl_raw[[#This Row],[Kategori]], tbl_target[Kategori], tbl_target[Target_Margin], 0)</f>
        <v>0.35</v>
      </c>
      <c r="K652" t="s">
        <v>18</v>
      </c>
      <c r="L652" t="s">
        <v>34</v>
      </c>
      <c r="M652">
        <v>8569171</v>
      </c>
    </row>
    <row r="653" spans="1:13" x14ac:dyDescent="0.3">
      <c r="A653" t="s">
        <v>474</v>
      </c>
      <c r="B653" t="s">
        <v>469</v>
      </c>
      <c r="C653" t="s">
        <v>12</v>
      </c>
      <c r="D653" t="s">
        <v>32</v>
      </c>
      <c r="E653">
        <v>10200000</v>
      </c>
      <c r="F653">
        <v>5425605</v>
      </c>
      <c r="G653">
        <v>4774395</v>
      </c>
      <c r="H653" s="5">
        <f>IFERROR((tbl_raw[[#This Row],[Revenue]]-tbl_raw[[#This Row],[COGS]]) / tbl_raw[[#This Row],[Revenue]], 0)</f>
        <v>0.46807794117647061</v>
      </c>
      <c r="I653" s="5" t="str" cm="1">
        <f t="array" ref="I65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53" s="5">
        <f>_xlfn.XLOOKUP(tbl_raw[[#This Row],[Kategori]], tbl_target[Kategori], tbl_target[Target_Margin], 0)</f>
        <v>0.25</v>
      </c>
      <c r="K653" t="s">
        <v>36</v>
      </c>
      <c r="L653" t="s">
        <v>49</v>
      </c>
      <c r="M653">
        <v>9852572</v>
      </c>
    </row>
    <row r="654" spans="1:13" x14ac:dyDescent="0.3">
      <c r="A654" t="s">
        <v>474</v>
      </c>
      <c r="B654" t="s">
        <v>469</v>
      </c>
      <c r="C654" t="s">
        <v>23</v>
      </c>
      <c r="D654" t="s">
        <v>27</v>
      </c>
      <c r="E654">
        <v>8200000</v>
      </c>
      <c r="F654">
        <v>3277620</v>
      </c>
      <c r="G654">
        <v>4922380</v>
      </c>
      <c r="H654" s="5">
        <f>IFERROR((tbl_raw[[#This Row],[Revenue]]-tbl_raw[[#This Row],[COGS]]) / tbl_raw[[#This Row],[Revenue]], 0)</f>
        <v>0.60029024390243901</v>
      </c>
      <c r="I654" s="5" t="str" cm="1">
        <f t="array" ref="I65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54" s="5">
        <f>_xlfn.XLOOKUP(tbl_raw[[#This Row],[Kategori]], tbl_target[Kategori], tbl_target[Target_Margin], 0)</f>
        <v>0.35</v>
      </c>
      <c r="K654" t="s">
        <v>14</v>
      </c>
      <c r="L654" t="s">
        <v>25</v>
      </c>
      <c r="M654">
        <v>7696455</v>
      </c>
    </row>
    <row r="655" spans="1:13" x14ac:dyDescent="0.3">
      <c r="A655" t="s">
        <v>475</v>
      </c>
      <c r="B655" t="s">
        <v>469</v>
      </c>
      <c r="C655" t="s">
        <v>23</v>
      </c>
      <c r="D655" t="s">
        <v>24</v>
      </c>
      <c r="E655">
        <v>3600000</v>
      </c>
      <c r="F655">
        <v>1310549</v>
      </c>
      <c r="G655">
        <v>2289451</v>
      </c>
      <c r="H655" s="5">
        <f>IFERROR((tbl_raw[[#This Row],[Revenue]]-tbl_raw[[#This Row],[COGS]]) / tbl_raw[[#This Row],[Revenue]], 0)</f>
        <v>0.63595861111111107</v>
      </c>
      <c r="I655" s="5" t="str" cm="1">
        <f t="array" ref="I65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55" s="5">
        <f>_xlfn.XLOOKUP(tbl_raw[[#This Row],[Kategori]], tbl_target[Kategori], tbl_target[Target_Margin], 0)</f>
        <v>0.35</v>
      </c>
      <c r="K655" t="s">
        <v>22</v>
      </c>
      <c r="L655" t="s">
        <v>15</v>
      </c>
      <c r="M655">
        <v>3129686</v>
      </c>
    </row>
    <row r="656" spans="1:13" x14ac:dyDescent="0.3">
      <c r="A656" t="s">
        <v>476</v>
      </c>
      <c r="B656" t="s">
        <v>469</v>
      </c>
      <c r="C656" t="s">
        <v>23</v>
      </c>
      <c r="D656" t="s">
        <v>58</v>
      </c>
      <c r="E656">
        <v>3200000</v>
      </c>
      <c r="F656">
        <v>1173524</v>
      </c>
      <c r="G656">
        <v>2026476</v>
      </c>
      <c r="H656" s="5">
        <f>IFERROR((tbl_raw[[#This Row],[Revenue]]-tbl_raw[[#This Row],[COGS]]) / tbl_raw[[#This Row],[Revenue]], 0)</f>
        <v>0.63327374999999997</v>
      </c>
      <c r="I656" s="5" t="str" cm="1">
        <f t="array" ref="I65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56" s="5">
        <f>_xlfn.XLOOKUP(tbl_raw[[#This Row],[Kategori]], tbl_target[Kategori], tbl_target[Target_Margin], 0)</f>
        <v>0.35</v>
      </c>
      <c r="K656" t="s">
        <v>36</v>
      </c>
      <c r="L656" t="s">
        <v>28</v>
      </c>
      <c r="M656">
        <v>3077252</v>
      </c>
    </row>
    <row r="657" spans="1:13" x14ac:dyDescent="0.3">
      <c r="A657" t="s">
        <v>477</v>
      </c>
      <c r="B657" t="s">
        <v>469</v>
      </c>
      <c r="C657" t="s">
        <v>20</v>
      </c>
      <c r="D657" t="s">
        <v>30</v>
      </c>
      <c r="E657">
        <v>1500000</v>
      </c>
      <c r="F657">
        <v>586958</v>
      </c>
      <c r="G657">
        <v>913042</v>
      </c>
      <c r="H657" s="5">
        <f>IFERROR((tbl_raw[[#This Row],[Revenue]]-tbl_raw[[#This Row],[COGS]]) / tbl_raw[[#This Row],[Revenue]], 0)</f>
        <v>0.60869466666666672</v>
      </c>
      <c r="I657" s="5" t="str" cm="1">
        <f t="array" ref="I65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57" s="5">
        <f>_xlfn.XLOOKUP(tbl_raw[[#This Row],[Kategori]], tbl_target[Kategori], tbl_target[Target_Margin], 0)</f>
        <v>0.4</v>
      </c>
      <c r="K657" t="s">
        <v>22</v>
      </c>
      <c r="L657" t="s">
        <v>49</v>
      </c>
      <c r="M657">
        <v>1432325</v>
      </c>
    </row>
    <row r="658" spans="1:13" x14ac:dyDescent="0.3">
      <c r="A658" t="s">
        <v>477</v>
      </c>
      <c r="B658" t="s">
        <v>469</v>
      </c>
      <c r="C658" t="s">
        <v>20</v>
      </c>
      <c r="D658" t="s">
        <v>21</v>
      </c>
      <c r="E658">
        <v>19900000</v>
      </c>
      <c r="F658">
        <v>9586825</v>
      </c>
      <c r="G658">
        <v>10313175</v>
      </c>
      <c r="H658" s="5">
        <f>IFERROR((tbl_raw[[#This Row],[Revenue]]-tbl_raw[[#This Row],[COGS]]) / tbl_raw[[#This Row],[Revenue]], 0)</f>
        <v>0.51824999999999999</v>
      </c>
      <c r="I658" s="5" t="str" cm="1">
        <f t="array" ref="I65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58" s="5">
        <f>_xlfn.XLOOKUP(tbl_raw[[#This Row],[Kategori]], tbl_target[Kategori], tbl_target[Target_Margin], 0)</f>
        <v>0.4</v>
      </c>
      <c r="K658" t="s">
        <v>22</v>
      </c>
      <c r="L658" t="s">
        <v>25</v>
      </c>
      <c r="M658">
        <v>20872124</v>
      </c>
    </row>
    <row r="659" spans="1:13" x14ac:dyDescent="0.3">
      <c r="A659" t="s">
        <v>477</v>
      </c>
      <c r="B659" t="s">
        <v>469</v>
      </c>
      <c r="C659" t="s">
        <v>20</v>
      </c>
      <c r="D659" t="s">
        <v>40</v>
      </c>
      <c r="E659">
        <v>9300000</v>
      </c>
      <c r="F659">
        <v>3553072</v>
      </c>
      <c r="G659">
        <v>5746928</v>
      </c>
      <c r="H659" s="5">
        <f>IFERROR((tbl_raw[[#This Row],[Revenue]]-tbl_raw[[#This Row],[COGS]]) / tbl_raw[[#This Row],[Revenue]], 0)</f>
        <v>0.61794924731182799</v>
      </c>
      <c r="I659" s="5" t="str" cm="1">
        <f t="array" ref="I65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59" s="5">
        <f>_xlfn.XLOOKUP(tbl_raw[[#This Row],[Kategori]], tbl_target[Kategori], tbl_target[Target_Margin], 0)</f>
        <v>0.4</v>
      </c>
      <c r="K659" t="s">
        <v>36</v>
      </c>
      <c r="L659" t="s">
        <v>49</v>
      </c>
      <c r="M659">
        <v>10669706</v>
      </c>
    </row>
    <row r="660" spans="1:13" x14ac:dyDescent="0.3">
      <c r="A660" t="s">
        <v>478</v>
      </c>
      <c r="B660" t="s">
        <v>469</v>
      </c>
      <c r="C660" t="s">
        <v>20</v>
      </c>
      <c r="D660" t="s">
        <v>40</v>
      </c>
      <c r="E660">
        <v>15500000</v>
      </c>
      <c r="F660">
        <v>7440187</v>
      </c>
      <c r="G660">
        <v>8059813</v>
      </c>
      <c r="H660" s="5">
        <f>IFERROR((tbl_raw[[#This Row],[Revenue]]-tbl_raw[[#This Row],[COGS]]) / tbl_raw[[#This Row],[Revenue]], 0)</f>
        <v>0.51998793548387101</v>
      </c>
      <c r="I660" s="5" t="str" cm="1">
        <f t="array" ref="I66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60" s="5">
        <f>_xlfn.XLOOKUP(tbl_raw[[#This Row],[Kategori]], tbl_target[Kategori], tbl_target[Target_Margin], 0)</f>
        <v>0.4</v>
      </c>
      <c r="K660" t="s">
        <v>14</v>
      </c>
      <c r="L660" t="s">
        <v>25</v>
      </c>
      <c r="M660">
        <v>14561975</v>
      </c>
    </row>
    <row r="661" spans="1:13" x14ac:dyDescent="0.3">
      <c r="A661" t="s">
        <v>478</v>
      </c>
      <c r="B661" t="s">
        <v>469</v>
      </c>
      <c r="C661" t="s">
        <v>20</v>
      </c>
      <c r="D661" t="s">
        <v>30</v>
      </c>
      <c r="E661">
        <v>8600000</v>
      </c>
      <c r="F661">
        <v>4696584</v>
      </c>
      <c r="G661">
        <v>3903416</v>
      </c>
      <c r="H661" s="5">
        <f>IFERROR((tbl_raw[[#This Row],[Revenue]]-tbl_raw[[#This Row],[COGS]]) / tbl_raw[[#This Row],[Revenue]], 0)</f>
        <v>0.45388558139534885</v>
      </c>
      <c r="I661" s="5" t="str" cm="1">
        <f t="array" ref="I66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61" s="5">
        <f>_xlfn.XLOOKUP(tbl_raw[[#This Row],[Kategori]], tbl_target[Kategori], tbl_target[Target_Margin], 0)</f>
        <v>0.4</v>
      </c>
      <c r="K661" t="s">
        <v>14</v>
      </c>
      <c r="L661" t="s">
        <v>49</v>
      </c>
      <c r="M661">
        <v>7061876</v>
      </c>
    </row>
    <row r="662" spans="1:13" x14ac:dyDescent="0.3">
      <c r="A662" t="s">
        <v>479</v>
      </c>
      <c r="B662" t="s">
        <v>469</v>
      </c>
      <c r="C662" t="s">
        <v>23</v>
      </c>
      <c r="D662" t="s">
        <v>27</v>
      </c>
      <c r="E662">
        <v>18700000</v>
      </c>
      <c r="F662">
        <v>6732963</v>
      </c>
      <c r="G662">
        <v>11967037</v>
      </c>
      <c r="H662" s="5">
        <f>IFERROR((tbl_raw[[#This Row],[Revenue]]-tbl_raw[[#This Row],[COGS]]) / tbl_raw[[#This Row],[Revenue]], 0)</f>
        <v>0.63994850267379677</v>
      </c>
      <c r="I662" s="5" t="str" cm="1">
        <f t="array" ref="I66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62" s="5">
        <f>_xlfn.XLOOKUP(tbl_raw[[#This Row],[Kategori]], tbl_target[Kategori], tbl_target[Target_Margin], 0)</f>
        <v>0.35</v>
      </c>
      <c r="K662" t="s">
        <v>22</v>
      </c>
      <c r="L662" t="s">
        <v>31</v>
      </c>
      <c r="M662">
        <v>24292655</v>
      </c>
    </row>
    <row r="663" spans="1:13" x14ac:dyDescent="0.3">
      <c r="A663" t="s">
        <v>479</v>
      </c>
      <c r="B663" t="s">
        <v>469</v>
      </c>
      <c r="C663" t="s">
        <v>23</v>
      </c>
      <c r="D663" t="s">
        <v>24</v>
      </c>
      <c r="E663">
        <v>4000000</v>
      </c>
      <c r="F663">
        <v>1744550</v>
      </c>
      <c r="G663">
        <v>2255450</v>
      </c>
      <c r="H663" s="5">
        <f>IFERROR((tbl_raw[[#This Row],[Revenue]]-tbl_raw[[#This Row],[COGS]]) / tbl_raw[[#This Row],[Revenue]], 0)</f>
        <v>0.56386250000000004</v>
      </c>
      <c r="I663" s="5" t="str" cm="1">
        <f t="array" ref="I66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63" s="5">
        <f>_xlfn.XLOOKUP(tbl_raw[[#This Row],[Kategori]], tbl_target[Kategori], tbl_target[Target_Margin], 0)</f>
        <v>0.35</v>
      </c>
      <c r="K663" t="s">
        <v>22</v>
      </c>
      <c r="L663" t="s">
        <v>41</v>
      </c>
      <c r="M663">
        <v>4310928</v>
      </c>
    </row>
    <row r="664" spans="1:13" x14ac:dyDescent="0.3">
      <c r="A664" t="s">
        <v>480</v>
      </c>
      <c r="B664" t="s">
        <v>469</v>
      </c>
      <c r="C664" t="s">
        <v>12</v>
      </c>
      <c r="D664" t="s">
        <v>32</v>
      </c>
      <c r="E664">
        <v>13900000</v>
      </c>
      <c r="F664">
        <v>6054453</v>
      </c>
      <c r="G664">
        <v>7845547</v>
      </c>
      <c r="H664" s="5">
        <f>IFERROR((tbl_raw[[#This Row],[Revenue]]-tbl_raw[[#This Row],[COGS]]) / tbl_raw[[#This Row],[Revenue]], 0)</f>
        <v>0.56442784172661875</v>
      </c>
      <c r="I664" s="5" t="str" cm="1">
        <f t="array" ref="I66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64" s="5">
        <f>_xlfn.XLOOKUP(tbl_raw[[#This Row],[Kategori]], tbl_target[Kategori], tbl_target[Target_Margin], 0)</f>
        <v>0.25</v>
      </c>
      <c r="K664" t="s">
        <v>14</v>
      </c>
      <c r="L664" t="s">
        <v>34</v>
      </c>
      <c r="M664">
        <v>11263974</v>
      </c>
    </row>
    <row r="665" spans="1:13" x14ac:dyDescent="0.3">
      <c r="A665" t="s">
        <v>481</v>
      </c>
      <c r="B665" t="s">
        <v>469</v>
      </c>
      <c r="C665" t="s">
        <v>12</v>
      </c>
      <c r="D665" t="s">
        <v>17</v>
      </c>
      <c r="E665">
        <v>13200000</v>
      </c>
      <c r="F665">
        <v>5674785</v>
      </c>
      <c r="G665">
        <v>7525215</v>
      </c>
      <c r="H665" s="5">
        <f>IFERROR((tbl_raw[[#This Row],[Revenue]]-tbl_raw[[#This Row],[COGS]]) / tbl_raw[[#This Row],[Revenue]], 0)</f>
        <v>0.5700920454545455</v>
      </c>
      <c r="I665" s="5" t="str" cm="1">
        <f t="array" ref="I66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65" s="5">
        <f>_xlfn.XLOOKUP(tbl_raw[[#This Row],[Kategori]], tbl_target[Kategori], tbl_target[Target_Margin], 0)</f>
        <v>0.25</v>
      </c>
      <c r="K665" t="s">
        <v>36</v>
      </c>
      <c r="L665" t="s">
        <v>34</v>
      </c>
      <c r="M665">
        <v>10764866</v>
      </c>
    </row>
    <row r="666" spans="1:13" x14ac:dyDescent="0.3">
      <c r="A666" t="s">
        <v>482</v>
      </c>
      <c r="B666" t="s">
        <v>469</v>
      </c>
      <c r="C666" t="s">
        <v>20</v>
      </c>
      <c r="D666" t="s">
        <v>30</v>
      </c>
      <c r="E666">
        <v>16900000</v>
      </c>
      <c r="F666">
        <v>7612928</v>
      </c>
      <c r="G666">
        <v>9287072</v>
      </c>
      <c r="H666" s="5">
        <f>IFERROR((tbl_raw[[#This Row],[Revenue]]-tbl_raw[[#This Row],[COGS]]) / tbl_raw[[#This Row],[Revenue]], 0)</f>
        <v>0.54953088757396451</v>
      </c>
      <c r="I666" s="5" t="str" cm="1">
        <f t="array" ref="I66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66" s="5">
        <f>_xlfn.XLOOKUP(tbl_raw[[#This Row],[Kategori]], tbl_target[Kategori], tbl_target[Target_Margin], 0)</f>
        <v>0.4</v>
      </c>
      <c r="K666" t="s">
        <v>48</v>
      </c>
      <c r="L666" t="s">
        <v>15</v>
      </c>
      <c r="M666">
        <v>20126707</v>
      </c>
    </row>
    <row r="667" spans="1:13" x14ac:dyDescent="0.3">
      <c r="A667" t="s">
        <v>483</v>
      </c>
      <c r="B667" t="s">
        <v>484</v>
      </c>
      <c r="C667" t="s">
        <v>12</v>
      </c>
      <c r="D667" t="s">
        <v>17</v>
      </c>
      <c r="E667">
        <v>4800000</v>
      </c>
      <c r="F667">
        <v>1682074</v>
      </c>
      <c r="G667">
        <v>3117926</v>
      </c>
      <c r="H667" s="5">
        <f>IFERROR((tbl_raw[[#This Row],[Revenue]]-tbl_raw[[#This Row],[COGS]]) / tbl_raw[[#This Row],[Revenue]], 0)</f>
        <v>0.64956791666666669</v>
      </c>
      <c r="I667" s="5" t="str" cm="1">
        <f t="array" ref="I66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67" s="5">
        <f>_xlfn.XLOOKUP(tbl_raw[[#This Row],[Kategori]], tbl_target[Kategori], tbl_target[Target_Margin], 0)</f>
        <v>0.25</v>
      </c>
      <c r="K667" t="s">
        <v>22</v>
      </c>
      <c r="L667" t="s">
        <v>49</v>
      </c>
      <c r="M667">
        <v>6204308</v>
      </c>
    </row>
    <row r="668" spans="1:13" x14ac:dyDescent="0.3">
      <c r="A668" t="s">
        <v>483</v>
      </c>
      <c r="B668" t="s">
        <v>484</v>
      </c>
      <c r="C668" t="s">
        <v>23</v>
      </c>
      <c r="D668" t="s">
        <v>24</v>
      </c>
      <c r="E668">
        <v>10000000</v>
      </c>
      <c r="F668">
        <v>4934962</v>
      </c>
      <c r="G668">
        <v>5065038</v>
      </c>
      <c r="H668" s="5">
        <f>IFERROR((tbl_raw[[#This Row],[Revenue]]-tbl_raw[[#This Row],[COGS]]) / tbl_raw[[#This Row],[Revenue]], 0)</f>
        <v>0.50650379999999995</v>
      </c>
      <c r="I668" s="5" t="str" cm="1">
        <f t="array" ref="I66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68" s="5">
        <f>_xlfn.XLOOKUP(tbl_raw[[#This Row],[Kategori]], tbl_target[Kategori], tbl_target[Target_Margin], 0)</f>
        <v>0.35</v>
      </c>
      <c r="K668" t="s">
        <v>48</v>
      </c>
      <c r="L668" t="s">
        <v>15</v>
      </c>
      <c r="M668">
        <v>12457183</v>
      </c>
    </row>
    <row r="669" spans="1:13" x14ac:dyDescent="0.3">
      <c r="A669" t="s">
        <v>485</v>
      </c>
      <c r="B669" t="s">
        <v>484</v>
      </c>
      <c r="C669" t="s">
        <v>12</v>
      </c>
      <c r="D669" t="s">
        <v>17</v>
      </c>
      <c r="E669">
        <v>6000000</v>
      </c>
      <c r="F669">
        <v>2514823</v>
      </c>
      <c r="G669">
        <v>3485177</v>
      </c>
      <c r="H669" s="5">
        <f>IFERROR((tbl_raw[[#This Row],[Revenue]]-tbl_raw[[#This Row],[COGS]]) / tbl_raw[[#This Row],[Revenue]], 0)</f>
        <v>0.58086283333333333</v>
      </c>
      <c r="I669" s="5" t="str" cm="1">
        <f t="array" ref="I66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69" s="5">
        <f>_xlfn.XLOOKUP(tbl_raw[[#This Row],[Kategori]], tbl_target[Kategori], tbl_target[Target_Margin], 0)</f>
        <v>0.25</v>
      </c>
      <c r="K669" t="s">
        <v>22</v>
      </c>
      <c r="L669" t="s">
        <v>25</v>
      </c>
      <c r="M669">
        <v>5137840</v>
      </c>
    </row>
    <row r="670" spans="1:13" x14ac:dyDescent="0.3">
      <c r="A670" t="s">
        <v>485</v>
      </c>
      <c r="B670" t="s">
        <v>484</v>
      </c>
      <c r="C670" t="s">
        <v>23</v>
      </c>
      <c r="D670" t="s">
        <v>24</v>
      </c>
      <c r="E670">
        <v>19400000</v>
      </c>
      <c r="F670">
        <v>10291915</v>
      </c>
      <c r="G670">
        <v>9108085</v>
      </c>
      <c r="H670" s="5">
        <f>IFERROR((tbl_raw[[#This Row],[Revenue]]-tbl_raw[[#This Row],[COGS]]) / tbl_raw[[#This Row],[Revenue]], 0)</f>
        <v>0.46948891752577321</v>
      </c>
      <c r="I670" s="5" t="str" cm="1">
        <f t="array" ref="I67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70" s="5">
        <f>_xlfn.XLOOKUP(tbl_raw[[#This Row],[Kategori]], tbl_target[Kategori], tbl_target[Target_Margin], 0)</f>
        <v>0.35</v>
      </c>
      <c r="K670" t="s">
        <v>14</v>
      </c>
      <c r="L670" t="s">
        <v>19</v>
      </c>
      <c r="M670">
        <v>24041598</v>
      </c>
    </row>
    <row r="671" spans="1:13" x14ac:dyDescent="0.3">
      <c r="A671" t="s">
        <v>486</v>
      </c>
      <c r="B671" t="s">
        <v>484</v>
      </c>
      <c r="C671" t="s">
        <v>20</v>
      </c>
      <c r="D671" t="s">
        <v>30</v>
      </c>
      <c r="E671">
        <v>7900000</v>
      </c>
      <c r="F671">
        <v>3236663</v>
      </c>
      <c r="G671">
        <v>4663337</v>
      </c>
      <c r="H671" s="5">
        <f>IFERROR((tbl_raw[[#This Row],[Revenue]]-tbl_raw[[#This Row],[COGS]]) / tbl_raw[[#This Row],[Revenue]], 0)</f>
        <v>0.59029582278481008</v>
      </c>
      <c r="I671" s="5" t="str" cm="1">
        <f t="array" ref="I67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71" s="5">
        <f>_xlfn.XLOOKUP(tbl_raw[[#This Row],[Kategori]], tbl_target[Kategori], tbl_target[Target_Margin], 0)</f>
        <v>0.4</v>
      </c>
      <c r="K671" t="s">
        <v>48</v>
      </c>
      <c r="L671" t="s">
        <v>19</v>
      </c>
      <c r="M671">
        <v>9940119</v>
      </c>
    </row>
    <row r="672" spans="1:13" x14ac:dyDescent="0.3">
      <c r="A672" t="s">
        <v>486</v>
      </c>
      <c r="B672" t="s">
        <v>484</v>
      </c>
      <c r="C672" t="s">
        <v>12</v>
      </c>
      <c r="D672" t="s">
        <v>32</v>
      </c>
      <c r="E672">
        <v>15000000</v>
      </c>
      <c r="F672">
        <v>5813776</v>
      </c>
      <c r="G672">
        <v>9186224</v>
      </c>
      <c r="H672" s="5">
        <f>IFERROR((tbl_raw[[#This Row],[Revenue]]-tbl_raw[[#This Row],[COGS]]) / tbl_raw[[#This Row],[Revenue]], 0)</f>
        <v>0.6124149333333333</v>
      </c>
      <c r="I672" s="5" t="str" cm="1">
        <f t="array" ref="I67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72" s="5">
        <f>_xlfn.XLOOKUP(tbl_raw[[#This Row],[Kategori]], tbl_target[Kategori], tbl_target[Target_Margin], 0)</f>
        <v>0.25</v>
      </c>
      <c r="K672" t="s">
        <v>48</v>
      </c>
      <c r="L672" t="s">
        <v>31</v>
      </c>
      <c r="M672">
        <v>12546466</v>
      </c>
    </row>
    <row r="673" spans="1:13" x14ac:dyDescent="0.3">
      <c r="A673" t="s">
        <v>486</v>
      </c>
      <c r="B673" t="s">
        <v>484</v>
      </c>
      <c r="C673" t="s">
        <v>20</v>
      </c>
      <c r="D673" t="s">
        <v>21</v>
      </c>
      <c r="E673">
        <v>2800000</v>
      </c>
      <c r="F673">
        <v>1406088</v>
      </c>
      <c r="G673">
        <v>1393912</v>
      </c>
      <c r="H673" s="5">
        <f>IFERROR((tbl_raw[[#This Row],[Revenue]]-tbl_raw[[#This Row],[COGS]]) / tbl_raw[[#This Row],[Revenue]], 0)</f>
        <v>0.49782571428571426</v>
      </c>
      <c r="I673" s="5" t="str" cm="1">
        <f t="array" ref="I67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73" s="5">
        <f>_xlfn.XLOOKUP(tbl_raw[[#This Row],[Kategori]], tbl_target[Kategori], tbl_target[Target_Margin], 0)</f>
        <v>0.4</v>
      </c>
      <c r="K673" t="s">
        <v>36</v>
      </c>
      <c r="L673" t="s">
        <v>49</v>
      </c>
      <c r="M673">
        <v>2401238</v>
      </c>
    </row>
    <row r="674" spans="1:13" x14ac:dyDescent="0.3">
      <c r="A674" t="s">
        <v>487</v>
      </c>
      <c r="B674" t="s">
        <v>484</v>
      </c>
      <c r="C674" t="s">
        <v>23</v>
      </c>
      <c r="D674" t="s">
        <v>58</v>
      </c>
      <c r="E674">
        <v>16700000</v>
      </c>
      <c r="F674">
        <v>9668205</v>
      </c>
      <c r="G674">
        <v>7031795</v>
      </c>
      <c r="H674" s="5">
        <f>IFERROR((tbl_raw[[#This Row],[Revenue]]-tbl_raw[[#This Row],[COGS]]) / tbl_raw[[#This Row],[Revenue]], 0)</f>
        <v>0.42106556886227547</v>
      </c>
      <c r="I674" s="5" t="str" cm="1">
        <f t="array" ref="I67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74" s="5">
        <f>_xlfn.XLOOKUP(tbl_raw[[#This Row],[Kategori]], tbl_target[Kategori], tbl_target[Target_Margin], 0)</f>
        <v>0.35</v>
      </c>
      <c r="K674" t="s">
        <v>18</v>
      </c>
      <c r="L674" t="s">
        <v>19</v>
      </c>
      <c r="M674">
        <v>21480607</v>
      </c>
    </row>
    <row r="675" spans="1:13" x14ac:dyDescent="0.3">
      <c r="A675" t="s">
        <v>487</v>
      </c>
      <c r="B675" t="s">
        <v>484</v>
      </c>
      <c r="C675" t="s">
        <v>20</v>
      </c>
      <c r="D675" t="s">
        <v>40</v>
      </c>
      <c r="E675">
        <v>14800000</v>
      </c>
      <c r="F675">
        <v>8596779</v>
      </c>
      <c r="G675">
        <v>6203221</v>
      </c>
      <c r="H675" s="5">
        <f>IFERROR((tbl_raw[[#This Row],[Revenue]]-tbl_raw[[#This Row],[COGS]]) / tbl_raw[[#This Row],[Revenue]], 0)</f>
        <v>0.41913655405405403</v>
      </c>
      <c r="I675" s="5" t="str" cm="1">
        <f t="array" ref="I67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75" s="5">
        <f>_xlfn.XLOOKUP(tbl_raw[[#This Row],[Kategori]], tbl_target[Kategori], tbl_target[Target_Margin], 0)</f>
        <v>0.4</v>
      </c>
      <c r="K675" t="s">
        <v>14</v>
      </c>
      <c r="L675" t="s">
        <v>15</v>
      </c>
      <c r="M675">
        <v>16318515</v>
      </c>
    </row>
    <row r="676" spans="1:13" x14ac:dyDescent="0.3">
      <c r="A676" t="s">
        <v>487</v>
      </c>
      <c r="B676" t="s">
        <v>484</v>
      </c>
      <c r="C676" t="s">
        <v>12</v>
      </c>
      <c r="D676" t="s">
        <v>17</v>
      </c>
      <c r="E676">
        <v>18000000</v>
      </c>
      <c r="F676">
        <v>9386908</v>
      </c>
      <c r="G676">
        <v>8613092</v>
      </c>
      <c r="H676" s="5">
        <f>IFERROR((tbl_raw[[#This Row],[Revenue]]-tbl_raw[[#This Row],[COGS]]) / tbl_raw[[#This Row],[Revenue]], 0)</f>
        <v>0.4785051111111111</v>
      </c>
      <c r="I676" s="5" t="str" cm="1">
        <f t="array" ref="I67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76" s="5">
        <f>_xlfn.XLOOKUP(tbl_raw[[#This Row],[Kategori]], tbl_target[Kategori], tbl_target[Target_Margin], 0)</f>
        <v>0.25</v>
      </c>
      <c r="K676" t="s">
        <v>14</v>
      </c>
      <c r="L676" t="s">
        <v>19</v>
      </c>
      <c r="M676">
        <v>20813589</v>
      </c>
    </row>
    <row r="677" spans="1:13" x14ac:dyDescent="0.3">
      <c r="A677" t="s">
        <v>487</v>
      </c>
      <c r="B677" t="s">
        <v>484</v>
      </c>
      <c r="C677" t="s">
        <v>12</v>
      </c>
      <c r="D677" t="s">
        <v>32</v>
      </c>
      <c r="E677">
        <v>12500000</v>
      </c>
      <c r="F677">
        <v>6365104</v>
      </c>
      <c r="G677">
        <v>6134896</v>
      </c>
      <c r="H677" s="5">
        <f>IFERROR((tbl_raw[[#This Row],[Revenue]]-tbl_raw[[#This Row],[COGS]]) / tbl_raw[[#This Row],[Revenue]], 0)</f>
        <v>0.49079168000000001</v>
      </c>
      <c r="I677" s="5" t="str" cm="1">
        <f t="array" ref="I67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77" s="5">
        <f>_xlfn.XLOOKUP(tbl_raw[[#This Row],[Kategori]], tbl_target[Kategori], tbl_target[Target_Margin], 0)</f>
        <v>0.25</v>
      </c>
      <c r="K677" t="s">
        <v>18</v>
      </c>
      <c r="L677" t="s">
        <v>31</v>
      </c>
      <c r="M677">
        <v>13108447</v>
      </c>
    </row>
    <row r="678" spans="1:13" x14ac:dyDescent="0.3">
      <c r="A678" t="s">
        <v>488</v>
      </c>
      <c r="B678" t="s">
        <v>484</v>
      </c>
      <c r="C678" t="s">
        <v>23</v>
      </c>
      <c r="D678" t="s">
        <v>58</v>
      </c>
      <c r="E678">
        <v>9200000</v>
      </c>
      <c r="F678">
        <v>4573210</v>
      </c>
      <c r="G678">
        <v>4626790</v>
      </c>
      <c r="H678" s="5">
        <f>IFERROR((tbl_raw[[#This Row],[Revenue]]-tbl_raw[[#This Row],[COGS]]) / tbl_raw[[#This Row],[Revenue]], 0)</f>
        <v>0.50291195652173915</v>
      </c>
      <c r="I678" s="5" t="str" cm="1">
        <f t="array" ref="I67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78" s="5">
        <f>_xlfn.XLOOKUP(tbl_raw[[#This Row],[Kategori]], tbl_target[Kategori], tbl_target[Target_Margin], 0)</f>
        <v>0.35</v>
      </c>
      <c r="K678" t="s">
        <v>22</v>
      </c>
      <c r="L678" t="s">
        <v>31</v>
      </c>
      <c r="M678">
        <v>11862922</v>
      </c>
    </row>
    <row r="679" spans="1:13" x14ac:dyDescent="0.3">
      <c r="A679" t="s">
        <v>489</v>
      </c>
      <c r="B679" t="s">
        <v>484</v>
      </c>
      <c r="C679" t="s">
        <v>20</v>
      </c>
      <c r="D679" t="s">
        <v>30</v>
      </c>
      <c r="E679">
        <v>15600000</v>
      </c>
      <c r="F679">
        <v>8649655</v>
      </c>
      <c r="G679">
        <v>6950345</v>
      </c>
      <c r="H679" s="5">
        <f>IFERROR((tbl_raw[[#This Row],[Revenue]]-tbl_raw[[#This Row],[COGS]]) / tbl_raw[[#This Row],[Revenue]], 0)</f>
        <v>0.44553493589743592</v>
      </c>
      <c r="I679" s="5" t="str" cm="1">
        <f t="array" ref="I67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79" s="5">
        <f>_xlfn.XLOOKUP(tbl_raw[[#This Row],[Kategori]], tbl_target[Kategori], tbl_target[Target_Margin], 0)</f>
        <v>0.4</v>
      </c>
      <c r="K679" t="s">
        <v>22</v>
      </c>
      <c r="L679" t="s">
        <v>25</v>
      </c>
      <c r="M679">
        <v>15295318</v>
      </c>
    </row>
    <row r="680" spans="1:13" x14ac:dyDescent="0.3">
      <c r="A680" t="s">
        <v>489</v>
      </c>
      <c r="B680" t="s">
        <v>484</v>
      </c>
      <c r="C680" t="s">
        <v>12</v>
      </c>
      <c r="D680" t="s">
        <v>17</v>
      </c>
      <c r="E680">
        <v>17100000</v>
      </c>
      <c r="F680">
        <v>6173626</v>
      </c>
      <c r="G680">
        <v>10926374</v>
      </c>
      <c r="H680" s="5">
        <f>IFERROR((tbl_raw[[#This Row],[Revenue]]-tbl_raw[[#This Row],[COGS]]) / tbl_raw[[#This Row],[Revenue]], 0)</f>
        <v>0.63896923976608189</v>
      </c>
      <c r="I680" s="5" t="str" cm="1">
        <f t="array" ref="I68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80" s="5">
        <f>_xlfn.XLOOKUP(tbl_raw[[#This Row],[Kategori]], tbl_target[Kategori], tbl_target[Target_Margin], 0)</f>
        <v>0.25</v>
      </c>
      <c r="K680" t="s">
        <v>36</v>
      </c>
      <c r="L680" t="s">
        <v>41</v>
      </c>
      <c r="M680">
        <v>18495462</v>
      </c>
    </row>
    <row r="681" spans="1:13" x14ac:dyDescent="0.3">
      <c r="A681" t="s">
        <v>489</v>
      </c>
      <c r="B681" t="s">
        <v>484</v>
      </c>
      <c r="C681" t="s">
        <v>23</v>
      </c>
      <c r="D681" t="s">
        <v>27</v>
      </c>
      <c r="E681">
        <v>14900000</v>
      </c>
      <c r="F681">
        <v>8552321</v>
      </c>
      <c r="G681">
        <v>6347679</v>
      </c>
      <c r="H681" s="5">
        <f>IFERROR((tbl_raw[[#This Row],[Revenue]]-tbl_raw[[#This Row],[COGS]]) / tbl_raw[[#This Row],[Revenue]], 0)</f>
        <v>0.42601872483221476</v>
      </c>
      <c r="I681" s="5" t="str" cm="1">
        <f t="array" ref="I68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81" s="5">
        <f>_xlfn.XLOOKUP(tbl_raw[[#This Row],[Kategori]], tbl_target[Kategori], tbl_target[Target_Margin], 0)</f>
        <v>0.35</v>
      </c>
      <c r="K681" t="s">
        <v>22</v>
      </c>
      <c r="L681" t="s">
        <v>25</v>
      </c>
      <c r="M681">
        <v>13643218</v>
      </c>
    </row>
    <row r="682" spans="1:13" x14ac:dyDescent="0.3">
      <c r="A682" t="s">
        <v>490</v>
      </c>
      <c r="B682" t="s">
        <v>484</v>
      </c>
      <c r="C682" t="s">
        <v>12</v>
      </c>
      <c r="D682" t="s">
        <v>32</v>
      </c>
      <c r="E682">
        <v>9600000</v>
      </c>
      <c r="F682">
        <v>5644090</v>
      </c>
      <c r="G682">
        <v>3955910</v>
      </c>
      <c r="H682" s="5">
        <f>IFERROR((tbl_raw[[#This Row],[Revenue]]-tbl_raw[[#This Row],[COGS]]) / tbl_raw[[#This Row],[Revenue]], 0)</f>
        <v>0.41207395833333332</v>
      </c>
      <c r="I682" s="5" t="str" cm="1">
        <f t="array" ref="I68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82" s="5">
        <f>_xlfn.XLOOKUP(tbl_raw[[#This Row],[Kategori]], tbl_target[Kategori], tbl_target[Target_Margin], 0)</f>
        <v>0.25</v>
      </c>
      <c r="K682" t="s">
        <v>36</v>
      </c>
      <c r="L682" t="s">
        <v>34</v>
      </c>
      <c r="M682">
        <v>9150714</v>
      </c>
    </row>
    <row r="683" spans="1:13" x14ac:dyDescent="0.3">
      <c r="A683" t="s">
        <v>490</v>
      </c>
      <c r="B683" t="s">
        <v>484</v>
      </c>
      <c r="C683" t="s">
        <v>23</v>
      </c>
      <c r="D683" t="s">
        <v>27</v>
      </c>
      <c r="E683">
        <v>6300000</v>
      </c>
      <c r="F683">
        <v>3365780</v>
      </c>
      <c r="G683">
        <v>2934220</v>
      </c>
      <c r="H683" s="5">
        <f>IFERROR((tbl_raw[[#This Row],[Revenue]]-tbl_raw[[#This Row],[COGS]]) / tbl_raw[[#This Row],[Revenue]], 0)</f>
        <v>0.46574920634920636</v>
      </c>
      <c r="I683" s="5" t="str" cm="1">
        <f t="array" ref="I68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83" s="5">
        <f>_xlfn.XLOOKUP(tbl_raw[[#This Row],[Kategori]], tbl_target[Kategori], tbl_target[Target_Margin], 0)</f>
        <v>0.35</v>
      </c>
      <c r="K683" t="s">
        <v>22</v>
      </c>
      <c r="L683" t="s">
        <v>41</v>
      </c>
      <c r="M683">
        <v>6720660</v>
      </c>
    </row>
    <row r="684" spans="1:13" x14ac:dyDescent="0.3">
      <c r="A684" t="s">
        <v>490</v>
      </c>
      <c r="B684" t="s">
        <v>484</v>
      </c>
      <c r="C684" t="s">
        <v>20</v>
      </c>
      <c r="D684" t="s">
        <v>21</v>
      </c>
      <c r="E684">
        <v>2800000</v>
      </c>
      <c r="F684">
        <v>1229856</v>
      </c>
      <c r="G684">
        <v>1570144</v>
      </c>
      <c r="H684" s="5">
        <f>IFERROR((tbl_raw[[#This Row],[Revenue]]-tbl_raw[[#This Row],[COGS]]) / tbl_raw[[#This Row],[Revenue]], 0)</f>
        <v>0.56076571428571431</v>
      </c>
      <c r="I684" s="5" t="str" cm="1">
        <f t="array" ref="I68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84" s="5">
        <f>_xlfn.XLOOKUP(tbl_raw[[#This Row],[Kategori]], tbl_target[Kategori], tbl_target[Target_Margin], 0)</f>
        <v>0.4</v>
      </c>
      <c r="K684" t="s">
        <v>14</v>
      </c>
      <c r="L684" t="s">
        <v>34</v>
      </c>
      <c r="M684">
        <v>2490659</v>
      </c>
    </row>
    <row r="685" spans="1:13" x14ac:dyDescent="0.3">
      <c r="A685" t="s">
        <v>490</v>
      </c>
      <c r="B685" t="s">
        <v>484</v>
      </c>
      <c r="C685" t="s">
        <v>23</v>
      </c>
      <c r="D685" t="s">
        <v>58</v>
      </c>
      <c r="E685">
        <v>14000000</v>
      </c>
      <c r="F685">
        <v>7027781</v>
      </c>
      <c r="G685">
        <v>6972219</v>
      </c>
      <c r="H685" s="5">
        <f>IFERROR((tbl_raw[[#This Row],[Revenue]]-tbl_raw[[#This Row],[COGS]]) / tbl_raw[[#This Row],[Revenue]], 0)</f>
        <v>0.49801564285714284</v>
      </c>
      <c r="I685" s="5" t="str" cm="1">
        <f t="array" ref="I68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85" s="5">
        <f>_xlfn.XLOOKUP(tbl_raw[[#This Row],[Kategori]], tbl_target[Kategori], tbl_target[Target_Margin], 0)</f>
        <v>0.35</v>
      </c>
      <c r="K685" t="s">
        <v>22</v>
      </c>
      <c r="L685" t="s">
        <v>25</v>
      </c>
      <c r="M685">
        <v>16005062</v>
      </c>
    </row>
    <row r="686" spans="1:13" x14ac:dyDescent="0.3">
      <c r="A686" t="s">
        <v>491</v>
      </c>
      <c r="B686" t="s">
        <v>484</v>
      </c>
      <c r="C686" t="s">
        <v>12</v>
      </c>
      <c r="D686" t="s">
        <v>17</v>
      </c>
      <c r="E686">
        <v>17400000</v>
      </c>
      <c r="F686">
        <v>9089322</v>
      </c>
      <c r="G686">
        <v>8310678</v>
      </c>
      <c r="H686" s="5">
        <f>IFERROR((tbl_raw[[#This Row],[Revenue]]-tbl_raw[[#This Row],[COGS]]) / tbl_raw[[#This Row],[Revenue]], 0)</f>
        <v>0.4776251724137931</v>
      </c>
      <c r="I686" s="5" t="str" cm="1">
        <f t="array" ref="I68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86" s="5">
        <f>_xlfn.XLOOKUP(tbl_raw[[#This Row],[Kategori]], tbl_target[Kategori], tbl_target[Target_Margin], 0)</f>
        <v>0.25</v>
      </c>
      <c r="K686" t="s">
        <v>22</v>
      </c>
      <c r="L686" t="s">
        <v>31</v>
      </c>
      <c r="M686">
        <v>14533561</v>
      </c>
    </row>
    <row r="687" spans="1:13" x14ac:dyDescent="0.3">
      <c r="A687" t="s">
        <v>491</v>
      </c>
      <c r="B687" t="s">
        <v>484</v>
      </c>
      <c r="C687" t="s">
        <v>20</v>
      </c>
      <c r="D687" t="s">
        <v>40</v>
      </c>
      <c r="E687">
        <v>12600000</v>
      </c>
      <c r="F687">
        <v>6178679</v>
      </c>
      <c r="G687">
        <v>6421321</v>
      </c>
      <c r="H687" s="5">
        <f>IFERROR((tbl_raw[[#This Row],[Revenue]]-tbl_raw[[#This Row],[COGS]]) / tbl_raw[[#This Row],[Revenue]], 0)</f>
        <v>0.50962865079365083</v>
      </c>
      <c r="I687" s="5" t="str" cm="1">
        <f t="array" ref="I68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87" s="5">
        <f>_xlfn.XLOOKUP(tbl_raw[[#This Row],[Kategori]], tbl_target[Kategori], tbl_target[Target_Margin], 0)</f>
        <v>0.4</v>
      </c>
      <c r="K687" t="s">
        <v>48</v>
      </c>
      <c r="L687" t="s">
        <v>41</v>
      </c>
      <c r="M687">
        <v>13891952</v>
      </c>
    </row>
    <row r="688" spans="1:13" x14ac:dyDescent="0.3">
      <c r="A688" t="s">
        <v>492</v>
      </c>
      <c r="B688" t="s">
        <v>484</v>
      </c>
      <c r="C688" t="s">
        <v>20</v>
      </c>
      <c r="D688" t="s">
        <v>40</v>
      </c>
      <c r="E688">
        <v>11700000</v>
      </c>
      <c r="F688">
        <v>5006476</v>
      </c>
      <c r="G688">
        <v>6693524</v>
      </c>
      <c r="H688" s="5">
        <f>IFERROR((tbl_raw[[#This Row],[Revenue]]-tbl_raw[[#This Row],[COGS]]) / tbl_raw[[#This Row],[Revenue]], 0)</f>
        <v>0.57209606837606841</v>
      </c>
      <c r="I688" s="5" t="str" cm="1">
        <f t="array" ref="I68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88" s="5">
        <f>_xlfn.XLOOKUP(tbl_raw[[#This Row],[Kategori]], tbl_target[Kategori], tbl_target[Target_Margin], 0)</f>
        <v>0.4</v>
      </c>
      <c r="K688" t="s">
        <v>14</v>
      </c>
      <c r="L688" t="s">
        <v>28</v>
      </c>
      <c r="M688">
        <v>12324330</v>
      </c>
    </row>
    <row r="689" spans="1:13" x14ac:dyDescent="0.3">
      <c r="A689" t="s">
        <v>493</v>
      </c>
      <c r="B689" t="s">
        <v>484</v>
      </c>
      <c r="C689" t="s">
        <v>12</v>
      </c>
      <c r="D689" t="s">
        <v>13</v>
      </c>
      <c r="E689">
        <v>6800000</v>
      </c>
      <c r="F689">
        <v>4039412</v>
      </c>
      <c r="G689">
        <v>2760588</v>
      </c>
      <c r="H689" s="5">
        <f>IFERROR((tbl_raw[[#This Row],[Revenue]]-tbl_raw[[#This Row],[COGS]]) / tbl_raw[[#This Row],[Revenue]], 0)</f>
        <v>0.40596882352941177</v>
      </c>
      <c r="I689" s="5" t="str" cm="1">
        <f t="array" ref="I68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89" s="5">
        <f>_xlfn.XLOOKUP(tbl_raw[[#This Row],[Kategori]], tbl_target[Kategori], tbl_target[Target_Margin], 0)</f>
        <v>0.25</v>
      </c>
      <c r="K689" t="s">
        <v>48</v>
      </c>
      <c r="L689" t="s">
        <v>41</v>
      </c>
      <c r="M689">
        <v>7697154</v>
      </c>
    </row>
    <row r="690" spans="1:13" x14ac:dyDescent="0.3">
      <c r="A690" t="s">
        <v>493</v>
      </c>
      <c r="B690" t="s">
        <v>484</v>
      </c>
      <c r="C690" t="s">
        <v>23</v>
      </c>
      <c r="D690" t="s">
        <v>24</v>
      </c>
      <c r="E690">
        <v>19900000</v>
      </c>
      <c r="F690">
        <v>7342004</v>
      </c>
      <c r="G690">
        <v>12557996</v>
      </c>
      <c r="H690" s="5">
        <f>IFERROR((tbl_raw[[#This Row],[Revenue]]-tbl_raw[[#This Row],[COGS]]) / tbl_raw[[#This Row],[Revenue]], 0)</f>
        <v>0.63105507537688443</v>
      </c>
      <c r="I690" s="5" t="str" cm="1">
        <f t="array" ref="I69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90" s="5">
        <f>_xlfn.XLOOKUP(tbl_raw[[#This Row],[Kategori]], tbl_target[Kategori], tbl_target[Target_Margin], 0)</f>
        <v>0.35</v>
      </c>
      <c r="K690" t="s">
        <v>18</v>
      </c>
      <c r="L690" t="s">
        <v>25</v>
      </c>
      <c r="M690">
        <v>17781128</v>
      </c>
    </row>
    <row r="691" spans="1:13" x14ac:dyDescent="0.3">
      <c r="A691" t="s">
        <v>493</v>
      </c>
      <c r="B691" t="s">
        <v>484</v>
      </c>
      <c r="C691" t="s">
        <v>12</v>
      </c>
      <c r="D691" t="s">
        <v>13</v>
      </c>
      <c r="E691">
        <v>14200000</v>
      </c>
      <c r="F691">
        <v>7004982</v>
      </c>
      <c r="G691">
        <v>7195018</v>
      </c>
      <c r="H691" s="5">
        <f>IFERROR((tbl_raw[[#This Row],[Revenue]]-tbl_raw[[#This Row],[COGS]]) / tbl_raw[[#This Row],[Revenue]], 0)</f>
        <v>0.50669140845070426</v>
      </c>
      <c r="I691" s="5" t="str" cm="1">
        <f t="array" ref="I69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91" s="5">
        <f>_xlfn.XLOOKUP(tbl_raw[[#This Row],[Kategori]], tbl_target[Kategori], tbl_target[Target_Margin], 0)</f>
        <v>0.25</v>
      </c>
      <c r="K691" t="s">
        <v>22</v>
      </c>
      <c r="L691" t="s">
        <v>49</v>
      </c>
      <c r="M691">
        <v>15241010</v>
      </c>
    </row>
    <row r="692" spans="1:13" x14ac:dyDescent="0.3">
      <c r="A692" t="s">
        <v>494</v>
      </c>
      <c r="B692" t="s">
        <v>484</v>
      </c>
      <c r="C692" t="s">
        <v>12</v>
      </c>
      <c r="D692" t="s">
        <v>32</v>
      </c>
      <c r="E692">
        <v>18900000</v>
      </c>
      <c r="F692">
        <v>8412841</v>
      </c>
      <c r="G692">
        <v>10487159</v>
      </c>
      <c r="H692" s="5">
        <f>IFERROR((tbl_raw[[#This Row],[Revenue]]-tbl_raw[[#This Row],[COGS]]) / tbl_raw[[#This Row],[Revenue]], 0)</f>
        <v>0.55487613756613752</v>
      </c>
      <c r="I692" s="5" t="str" cm="1">
        <f t="array" ref="I692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92" s="5">
        <f>_xlfn.XLOOKUP(tbl_raw[[#This Row],[Kategori]], tbl_target[Kategori], tbl_target[Target_Margin], 0)</f>
        <v>0.25</v>
      </c>
      <c r="K692" t="s">
        <v>22</v>
      </c>
      <c r="L692" t="s">
        <v>25</v>
      </c>
      <c r="M692">
        <v>22594719</v>
      </c>
    </row>
    <row r="693" spans="1:13" x14ac:dyDescent="0.3">
      <c r="A693" t="s">
        <v>495</v>
      </c>
      <c r="B693" t="s">
        <v>484</v>
      </c>
      <c r="C693" t="s">
        <v>20</v>
      </c>
      <c r="D693" t="s">
        <v>21</v>
      </c>
      <c r="E693">
        <v>1300000</v>
      </c>
      <c r="F693">
        <v>536151</v>
      </c>
      <c r="G693">
        <v>763849</v>
      </c>
      <c r="H693" s="5">
        <f>IFERROR((tbl_raw[[#This Row],[Revenue]]-tbl_raw[[#This Row],[COGS]]) / tbl_raw[[#This Row],[Revenue]], 0)</f>
        <v>0.5875761538461538</v>
      </c>
      <c r="I693" s="5" t="str" cm="1">
        <f t="array" ref="I693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93" s="5">
        <f>_xlfn.XLOOKUP(tbl_raw[[#This Row],[Kategori]], tbl_target[Kategori], tbl_target[Target_Margin], 0)</f>
        <v>0.4</v>
      </c>
      <c r="K693" t="s">
        <v>14</v>
      </c>
      <c r="L693" t="s">
        <v>19</v>
      </c>
      <c r="M693">
        <v>1121051</v>
      </c>
    </row>
    <row r="694" spans="1:13" x14ac:dyDescent="0.3">
      <c r="A694" t="s">
        <v>496</v>
      </c>
      <c r="B694" t="s">
        <v>484</v>
      </c>
      <c r="C694" t="s">
        <v>23</v>
      </c>
      <c r="D694" t="s">
        <v>24</v>
      </c>
      <c r="E694">
        <v>15300000</v>
      </c>
      <c r="F694">
        <v>5847524</v>
      </c>
      <c r="G694">
        <v>9452476</v>
      </c>
      <c r="H694" s="5">
        <f>IFERROR((tbl_raw[[#This Row],[Revenue]]-tbl_raw[[#This Row],[COGS]]) / tbl_raw[[#This Row],[Revenue]], 0)</f>
        <v>0.61780888888888885</v>
      </c>
      <c r="I694" s="5" t="str" cm="1">
        <f t="array" ref="I694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94" s="5">
        <f>_xlfn.XLOOKUP(tbl_raw[[#This Row],[Kategori]], tbl_target[Kategori], tbl_target[Target_Margin], 0)</f>
        <v>0.35</v>
      </c>
      <c r="K694" t="s">
        <v>14</v>
      </c>
      <c r="L694" t="s">
        <v>41</v>
      </c>
      <c r="M694">
        <v>19744734</v>
      </c>
    </row>
    <row r="695" spans="1:13" x14ac:dyDescent="0.3">
      <c r="A695" t="s">
        <v>497</v>
      </c>
      <c r="B695" t="s">
        <v>484</v>
      </c>
      <c r="C695" t="s">
        <v>23</v>
      </c>
      <c r="D695" t="s">
        <v>27</v>
      </c>
      <c r="E695">
        <v>17900000</v>
      </c>
      <c r="F695">
        <v>7850994</v>
      </c>
      <c r="G695">
        <v>10049006</v>
      </c>
      <c r="H695" s="5">
        <f>IFERROR((tbl_raw[[#This Row],[Revenue]]-tbl_raw[[#This Row],[COGS]]) / tbl_raw[[#This Row],[Revenue]], 0)</f>
        <v>0.56139698324022347</v>
      </c>
      <c r="I695" s="5" t="str" cm="1">
        <f t="array" ref="I695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95" s="5">
        <f>_xlfn.XLOOKUP(tbl_raw[[#This Row],[Kategori]], tbl_target[Kategori], tbl_target[Target_Margin], 0)</f>
        <v>0.35</v>
      </c>
      <c r="K695" t="s">
        <v>18</v>
      </c>
      <c r="L695" t="s">
        <v>28</v>
      </c>
      <c r="M695">
        <v>22864871</v>
      </c>
    </row>
    <row r="696" spans="1:13" x14ac:dyDescent="0.3">
      <c r="A696" t="s">
        <v>498</v>
      </c>
      <c r="B696" t="s">
        <v>484</v>
      </c>
      <c r="C696" t="s">
        <v>20</v>
      </c>
      <c r="D696" t="s">
        <v>40</v>
      </c>
      <c r="E696">
        <v>6500000</v>
      </c>
      <c r="F696">
        <v>3596648</v>
      </c>
      <c r="G696">
        <v>2903352</v>
      </c>
      <c r="H696" s="5">
        <f>IFERROR((tbl_raw[[#This Row],[Revenue]]-tbl_raw[[#This Row],[COGS]]) / tbl_raw[[#This Row],[Revenue]], 0)</f>
        <v>0.44666953846153845</v>
      </c>
      <c r="I696" s="5" t="str" cm="1">
        <f t="array" ref="I696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96" s="5">
        <f>_xlfn.XLOOKUP(tbl_raw[[#This Row],[Kategori]], tbl_target[Kategori], tbl_target[Target_Margin], 0)</f>
        <v>0.4</v>
      </c>
      <c r="K696" t="s">
        <v>14</v>
      </c>
      <c r="L696" t="s">
        <v>41</v>
      </c>
      <c r="M696">
        <v>6009571</v>
      </c>
    </row>
    <row r="697" spans="1:13" x14ac:dyDescent="0.3">
      <c r="A697" t="s">
        <v>499</v>
      </c>
      <c r="B697" t="s">
        <v>484</v>
      </c>
      <c r="C697" t="s">
        <v>23</v>
      </c>
      <c r="D697" t="s">
        <v>58</v>
      </c>
      <c r="E697">
        <v>17200000</v>
      </c>
      <c r="F697">
        <v>6165495</v>
      </c>
      <c r="G697">
        <v>11034505</v>
      </c>
      <c r="H697" s="5">
        <f>IFERROR((tbl_raw[[#This Row],[Revenue]]-tbl_raw[[#This Row],[COGS]]) / tbl_raw[[#This Row],[Revenue]], 0)</f>
        <v>0.64154098837209306</v>
      </c>
      <c r="I697" s="5" t="str" cm="1">
        <f t="array" ref="I697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97" s="5">
        <f>_xlfn.XLOOKUP(tbl_raw[[#This Row],[Kategori]], tbl_target[Kategori], tbl_target[Target_Margin], 0)</f>
        <v>0.35</v>
      </c>
      <c r="K697" t="s">
        <v>48</v>
      </c>
      <c r="L697" t="s">
        <v>19</v>
      </c>
      <c r="M697">
        <v>15106166</v>
      </c>
    </row>
    <row r="698" spans="1:13" x14ac:dyDescent="0.3">
      <c r="A698" t="s">
        <v>499</v>
      </c>
      <c r="B698" t="s">
        <v>484</v>
      </c>
      <c r="C698" t="s">
        <v>12</v>
      </c>
      <c r="D698" t="s">
        <v>32</v>
      </c>
      <c r="E698">
        <v>3900000</v>
      </c>
      <c r="F698">
        <v>2160386</v>
      </c>
      <c r="G698">
        <v>1739614</v>
      </c>
      <c r="H698" s="5">
        <f>IFERROR((tbl_raw[[#This Row],[Revenue]]-tbl_raw[[#This Row],[COGS]]) / tbl_raw[[#This Row],[Revenue]], 0)</f>
        <v>0.4460548717948718</v>
      </c>
      <c r="I698" s="5" t="str" cm="1">
        <f t="array" ref="I698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98" s="5">
        <f>_xlfn.XLOOKUP(tbl_raw[[#This Row],[Kategori]], tbl_target[Kategori], tbl_target[Target_Margin], 0)</f>
        <v>0.25</v>
      </c>
      <c r="K698" t="s">
        <v>36</v>
      </c>
      <c r="L698" t="s">
        <v>19</v>
      </c>
      <c r="M698">
        <v>4573298</v>
      </c>
    </row>
    <row r="699" spans="1:13" x14ac:dyDescent="0.3">
      <c r="A699" t="s">
        <v>500</v>
      </c>
      <c r="B699" t="s">
        <v>484</v>
      </c>
      <c r="C699" t="s">
        <v>20</v>
      </c>
      <c r="D699" t="s">
        <v>40</v>
      </c>
      <c r="E699">
        <v>10800000</v>
      </c>
      <c r="F699">
        <v>6080963</v>
      </c>
      <c r="G699">
        <v>4719037</v>
      </c>
      <c r="H699" s="5">
        <f>IFERROR((tbl_raw[[#This Row],[Revenue]]-tbl_raw[[#This Row],[COGS]]) / tbl_raw[[#This Row],[Revenue]], 0)</f>
        <v>0.43694787037037036</v>
      </c>
      <c r="I699" s="5" t="str" cm="1">
        <f t="array" ref="I699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699" s="5">
        <f>_xlfn.XLOOKUP(tbl_raw[[#This Row],[Kategori]], tbl_target[Kategori], tbl_target[Target_Margin], 0)</f>
        <v>0.4</v>
      </c>
      <c r="K699" t="s">
        <v>18</v>
      </c>
      <c r="L699" t="s">
        <v>19</v>
      </c>
      <c r="M699">
        <v>9427133</v>
      </c>
    </row>
    <row r="700" spans="1:13" x14ac:dyDescent="0.3">
      <c r="A700" t="s">
        <v>500</v>
      </c>
      <c r="B700" t="s">
        <v>484</v>
      </c>
      <c r="C700" t="s">
        <v>20</v>
      </c>
      <c r="D700" t="s">
        <v>21</v>
      </c>
      <c r="E700">
        <v>2000000</v>
      </c>
      <c r="F700">
        <v>712341</v>
      </c>
      <c r="G700">
        <v>1287659</v>
      </c>
      <c r="H700" s="5">
        <f>IFERROR((tbl_raw[[#This Row],[Revenue]]-tbl_raw[[#This Row],[COGS]]) / tbl_raw[[#This Row],[Revenue]], 0)</f>
        <v>0.64382950000000005</v>
      </c>
      <c r="I700" s="5" t="str" cm="1">
        <f t="array" ref="I700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700" s="5">
        <f>_xlfn.XLOOKUP(tbl_raw[[#This Row],[Kategori]], tbl_target[Kategori], tbl_target[Target_Margin], 0)</f>
        <v>0.4</v>
      </c>
      <c r="K700" t="s">
        <v>14</v>
      </c>
      <c r="L700" t="s">
        <v>19</v>
      </c>
      <c r="M700">
        <v>1818693</v>
      </c>
    </row>
    <row r="701" spans="1:13" x14ac:dyDescent="0.3">
      <c r="A701" t="s">
        <v>501</v>
      </c>
      <c r="B701" t="s">
        <v>484</v>
      </c>
      <c r="C701" t="s">
        <v>20</v>
      </c>
      <c r="D701" t="s">
        <v>40</v>
      </c>
      <c r="E701">
        <v>18100000</v>
      </c>
      <c r="F701">
        <v>8805942</v>
      </c>
      <c r="G701">
        <v>9294058</v>
      </c>
      <c r="H701" s="5">
        <f>IFERROR((tbl_raw[[#This Row],[Revenue]]-tbl_raw[[#This Row],[COGS]]) / tbl_raw[[#This Row],[Revenue]], 0)</f>
        <v>0.51348386740331486</v>
      </c>
      <c r="I701" s="5" t="str" cm="1">
        <f t="array" ref="I701">_xlfn.IFS(
tbl_raw[[#This Row],[Profit_Margin]]&gt;=40%, "Excellent",
tbl_raw[[#This Row],[Profit_Margin]]&gt;=30%, "Achieved",
tbl_raw[[#This Row],[Profit_Margin]]&gt;=20%, "Warning",
tbl_raw[[#This Row],[Profit_Margin]]&lt;20%, "Critical"
)</f>
        <v>Excellent</v>
      </c>
      <c r="J701" s="5">
        <f>_xlfn.XLOOKUP(tbl_raw[[#This Row],[Kategori]], tbl_target[Kategori], tbl_target[Target_Margin], 0)</f>
        <v>0.4</v>
      </c>
      <c r="K701" t="s">
        <v>18</v>
      </c>
      <c r="L701" t="s">
        <v>31</v>
      </c>
      <c r="M701">
        <v>22682190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4145-56F3-4FC1-A534-4B48E97C9653}">
  <dimension ref="A3:K28"/>
  <sheetViews>
    <sheetView topLeftCell="A2" workbookViewId="0">
      <selection activeCell="L13" sqref="L13"/>
    </sheetView>
  </sheetViews>
  <sheetFormatPr defaultRowHeight="14.4" x14ac:dyDescent="0.3"/>
  <cols>
    <col min="1" max="1" width="12.5546875" bestFit="1" customWidth="1"/>
    <col min="2" max="2" width="13.109375" bestFit="1" customWidth="1"/>
    <col min="3" max="4" width="11" bestFit="1" customWidth="1"/>
    <col min="5" max="5" width="12.33203125" bestFit="1" customWidth="1"/>
    <col min="7" max="7" width="12.5546875" bestFit="1" customWidth="1"/>
    <col min="8" max="8" width="14.88671875" bestFit="1" customWidth="1"/>
    <col min="9" max="9" width="12.109375" bestFit="1" customWidth="1"/>
    <col min="10" max="10" width="17.88671875" bestFit="1" customWidth="1"/>
  </cols>
  <sheetData>
    <row r="3" spans="1:11" x14ac:dyDescent="0.3">
      <c r="A3" s="7" t="s">
        <v>510</v>
      </c>
      <c r="B3" t="s">
        <v>503</v>
      </c>
      <c r="C3" t="s">
        <v>515</v>
      </c>
      <c r="D3" t="s">
        <v>516</v>
      </c>
      <c r="E3" t="s">
        <v>506</v>
      </c>
      <c r="G3" s="7" t="s">
        <v>510</v>
      </c>
      <c r="H3" t="s">
        <v>512</v>
      </c>
      <c r="I3" t="s">
        <v>513</v>
      </c>
      <c r="J3" t="s">
        <v>514</v>
      </c>
      <c r="K3" t="s">
        <v>506</v>
      </c>
    </row>
    <row r="4" spans="1:11" x14ac:dyDescent="0.3">
      <c r="A4" s="8" t="s">
        <v>11</v>
      </c>
      <c r="B4">
        <v>258200000</v>
      </c>
      <c r="C4">
        <v>120786579</v>
      </c>
      <c r="D4">
        <v>137413421</v>
      </c>
      <c r="E4">
        <f>IFERROR(D4/B4,0)</f>
        <v>0.53219760263361737</v>
      </c>
      <c r="G4" s="8" t="s">
        <v>20</v>
      </c>
      <c r="H4">
        <v>2048000000</v>
      </c>
      <c r="I4">
        <v>960816359</v>
      </c>
      <c r="J4">
        <v>1087183641</v>
      </c>
      <c r="K4">
        <f>IFERROR(J4/H4,0)</f>
        <v>0.53085138720703129</v>
      </c>
    </row>
    <row r="5" spans="1:11" x14ac:dyDescent="0.3">
      <c r="A5" s="8" t="s">
        <v>56</v>
      </c>
      <c r="B5">
        <v>308000000</v>
      </c>
      <c r="C5">
        <v>145616200</v>
      </c>
      <c r="D5">
        <v>162383800</v>
      </c>
      <c r="E5">
        <f t="shared" ref="E5:E28" si="0">IFERROR(D5/B5,0)</f>
        <v>0.52722012987012989</v>
      </c>
      <c r="G5" s="8" t="s">
        <v>23</v>
      </c>
      <c r="H5">
        <v>2688500000</v>
      </c>
      <c r="I5">
        <v>1275304019</v>
      </c>
      <c r="J5">
        <v>1413195981</v>
      </c>
      <c r="K5">
        <f>IFERROR(D5/B5,0)</f>
        <v>0.52722012987012989</v>
      </c>
    </row>
    <row r="6" spans="1:11" x14ac:dyDescent="0.3">
      <c r="A6" s="8" t="s">
        <v>79</v>
      </c>
      <c r="B6">
        <v>332200000</v>
      </c>
      <c r="C6">
        <v>156189424</v>
      </c>
      <c r="D6">
        <v>176010576</v>
      </c>
      <c r="E6">
        <f t="shared" si="0"/>
        <v>0.52983316074653819</v>
      </c>
      <c r="G6" s="8" t="s">
        <v>12</v>
      </c>
      <c r="H6">
        <v>2380200000</v>
      </c>
      <c r="I6">
        <v>1119452004</v>
      </c>
      <c r="J6">
        <v>1260747996</v>
      </c>
      <c r="K6">
        <f t="shared" ref="K6:K7" si="1">IFERROR(D6/B6,0)</f>
        <v>0.52983316074653819</v>
      </c>
    </row>
    <row r="7" spans="1:11" x14ac:dyDescent="0.3">
      <c r="A7" s="8" t="s">
        <v>100</v>
      </c>
      <c r="B7">
        <v>280300000</v>
      </c>
      <c r="C7">
        <v>128607617</v>
      </c>
      <c r="D7">
        <v>151692383</v>
      </c>
      <c r="E7">
        <f t="shared" si="0"/>
        <v>0.54117867641812345</v>
      </c>
      <c r="G7" s="8" t="s">
        <v>511</v>
      </c>
      <c r="H7">
        <v>7116700000</v>
      </c>
      <c r="I7">
        <v>3355572382</v>
      </c>
      <c r="J7">
        <v>3761127618</v>
      </c>
      <c r="K7">
        <f t="shared" si="1"/>
        <v>0.54117867641812345</v>
      </c>
    </row>
    <row r="8" spans="1:11" x14ac:dyDescent="0.3">
      <c r="A8" s="8" t="s">
        <v>121</v>
      </c>
      <c r="B8">
        <v>272500000</v>
      </c>
      <c r="C8">
        <v>131313572</v>
      </c>
      <c r="D8">
        <v>141186428</v>
      </c>
      <c r="E8">
        <f t="shared" si="0"/>
        <v>0.51811533211009175</v>
      </c>
    </row>
    <row r="9" spans="1:11" x14ac:dyDescent="0.3">
      <c r="A9" s="8" t="s">
        <v>140</v>
      </c>
      <c r="B9">
        <v>340400000</v>
      </c>
      <c r="C9">
        <v>160838376</v>
      </c>
      <c r="D9">
        <v>179561624</v>
      </c>
      <c r="E9">
        <f t="shared" si="0"/>
        <v>0.52750183313748533</v>
      </c>
    </row>
    <row r="10" spans="1:11" x14ac:dyDescent="0.3">
      <c r="A10" s="8" t="s">
        <v>160</v>
      </c>
      <c r="B10">
        <v>340300000</v>
      </c>
      <c r="C10">
        <v>156765570</v>
      </c>
      <c r="D10">
        <v>183534430</v>
      </c>
      <c r="E10">
        <f t="shared" si="0"/>
        <v>0.53933126652953278</v>
      </c>
    </row>
    <row r="11" spans="1:11" x14ac:dyDescent="0.3">
      <c r="A11" s="8" t="s">
        <v>182</v>
      </c>
      <c r="B11">
        <v>289300000</v>
      </c>
      <c r="C11">
        <v>130321522</v>
      </c>
      <c r="D11">
        <v>158978478</v>
      </c>
      <c r="E11">
        <f t="shared" si="0"/>
        <v>0.5495280954026962</v>
      </c>
    </row>
    <row r="12" spans="1:11" x14ac:dyDescent="0.3">
      <c r="A12" s="8" t="s">
        <v>205</v>
      </c>
      <c r="B12">
        <v>304600000</v>
      </c>
      <c r="C12">
        <v>144891391</v>
      </c>
      <c r="D12">
        <v>159708609</v>
      </c>
      <c r="E12">
        <f t="shared" si="0"/>
        <v>0.52432241956664483</v>
      </c>
    </row>
    <row r="13" spans="1:11" x14ac:dyDescent="0.3">
      <c r="A13" s="8" t="s">
        <v>222</v>
      </c>
      <c r="B13">
        <v>278200000</v>
      </c>
      <c r="C13">
        <v>131987416</v>
      </c>
      <c r="D13">
        <v>146212584</v>
      </c>
      <c r="E13">
        <f t="shared" si="0"/>
        <v>0.52556644140905828</v>
      </c>
    </row>
    <row r="14" spans="1:11" x14ac:dyDescent="0.3">
      <c r="A14" s="8" t="s">
        <v>241</v>
      </c>
      <c r="B14">
        <v>222800000</v>
      </c>
      <c r="C14">
        <v>111734471</v>
      </c>
      <c r="D14">
        <v>111065529</v>
      </c>
      <c r="E14">
        <f t="shared" si="0"/>
        <v>0.49849878366247757</v>
      </c>
    </row>
    <row r="15" spans="1:11" x14ac:dyDescent="0.3">
      <c r="A15" s="8" t="s">
        <v>258</v>
      </c>
      <c r="B15">
        <v>185100000</v>
      </c>
      <c r="C15">
        <v>89399020</v>
      </c>
      <c r="D15">
        <v>95700980</v>
      </c>
      <c r="E15">
        <f t="shared" si="0"/>
        <v>0.5170231226364127</v>
      </c>
    </row>
    <row r="16" spans="1:11" x14ac:dyDescent="0.3">
      <c r="A16" s="8" t="s">
        <v>274</v>
      </c>
      <c r="B16">
        <v>290900000</v>
      </c>
      <c r="C16">
        <v>133880293</v>
      </c>
      <c r="D16">
        <v>157019707</v>
      </c>
      <c r="E16">
        <f t="shared" si="0"/>
        <v>0.53977211069095909</v>
      </c>
    </row>
    <row r="17" spans="1:5" x14ac:dyDescent="0.3">
      <c r="A17" s="8" t="s">
        <v>290</v>
      </c>
      <c r="B17">
        <v>403700000</v>
      </c>
      <c r="C17">
        <v>198797898</v>
      </c>
      <c r="D17">
        <v>204902102</v>
      </c>
      <c r="E17">
        <f t="shared" si="0"/>
        <v>0.50756032202130297</v>
      </c>
    </row>
    <row r="18" spans="1:5" x14ac:dyDescent="0.3">
      <c r="A18" s="8" t="s">
        <v>311</v>
      </c>
      <c r="B18">
        <v>205400000</v>
      </c>
      <c r="C18">
        <v>90978699</v>
      </c>
      <c r="D18">
        <v>114421301</v>
      </c>
      <c r="E18">
        <f t="shared" si="0"/>
        <v>0.55706573028237583</v>
      </c>
    </row>
    <row r="19" spans="1:5" x14ac:dyDescent="0.3">
      <c r="A19" s="8" t="s">
        <v>327</v>
      </c>
      <c r="B19">
        <v>363700000</v>
      </c>
      <c r="C19">
        <v>173134543</v>
      </c>
      <c r="D19">
        <v>190565457</v>
      </c>
      <c r="E19">
        <f t="shared" si="0"/>
        <v>0.52396331317019518</v>
      </c>
    </row>
    <row r="20" spans="1:5" x14ac:dyDescent="0.3">
      <c r="A20" s="8" t="s">
        <v>347</v>
      </c>
      <c r="B20">
        <v>286000000</v>
      </c>
      <c r="C20">
        <v>131134124</v>
      </c>
      <c r="D20">
        <v>154865876</v>
      </c>
      <c r="E20">
        <f t="shared" si="0"/>
        <v>0.54148907692307691</v>
      </c>
    </row>
    <row r="21" spans="1:5" x14ac:dyDescent="0.3">
      <c r="A21" s="8" t="s">
        <v>366</v>
      </c>
      <c r="B21">
        <v>338700000</v>
      </c>
      <c r="C21">
        <v>161349489</v>
      </c>
      <c r="D21">
        <v>177350511</v>
      </c>
      <c r="E21">
        <f t="shared" si="0"/>
        <v>0.52362123117803361</v>
      </c>
    </row>
    <row r="22" spans="1:5" x14ac:dyDescent="0.3">
      <c r="A22" s="8" t="s">
        <v>388</v>
      </c>
      <c r="B22">
        <v>340900000</v>
      </c>
      <c r="C22">
        <v>162380916</v>
      </c>
      <c r="D22">
        <v>178519084</v>
      </c>
      <c r="E22">
        <f t="shared" si="0"/>
        <v>0.52366994426518043</v>
      </c>
    </row>
    <row r="23" spans="1:5" x14ac:dyDescent="0.3">
      <c r="A23" s="8" t="s">
        <v>409</v>
      </c>
      <c r="B23">
        <v>341000000</v>
      </c>
      <c r="C23">
        <v>157574604</v>
      </c>
      <c r="D23">
        <v>183425396</v>
      </c>
      <c r="E23">
        <f t="shared" si="0"/>
        <v>0.53790438709677424</v>
      </c>
    </row>
    <row r="24" spans="1:5" x14ac:dyDescent="0.3">
      <c r="A24" s="8" t="s">
        <v>431</v>
      </c>
      <c r="B24">
        <v>246000000</v>
      </c>
      <c r="C24">
        <v>117064113</v>
      </c>
      <c r="D24">
        <v>128935887</v>
      </c>
      <c r="E24">
        <f t="shared" si="0"/>
        <v>0.52412962195121948</v>
      </c>
    </row>
    <row r="25" spans="1:5" x14ac:dyDescent="0.3">
      <c r="A25" s="8" t="s">
        <v>448</v>
      </c>
      <c r="B25">
        <v>274000000</v>
      </c>
      <c r="C25">
        <v>128526614</v>
      </c>
      <c r="D25">
        <v>145473386</v>
      </c>
      <c r="E25">
        <f t="shared" si="0"/>
        <v>0.53092476642335762</v>
      </c>
    </row>
    <row r="26" spans="1:5" x14ac:dyDescent="0.3">
      <c r="A26" s="8" t="s">
        <v>469</v>
      </c>
      <c r="B26">
        <v>202600000</v>
      </c>
      <c r="C26">
        <v>94356155</v>
      </c>
      <c r="D26">
        <v>108243845</v>
      </c>
      <c r="E26">
        <f t="shared" si="0"/>
        <v>0.53427366732477788</v>
      </c>
    </row>
    <row r="27" spans="1:5" x14ac:dyDescent="0.3">
      <c r="A27" s="8" t="s">
        <v>484</v>
      </c>
      <c r="B27">
        <v>411900000</v>
      </c>
      <c r="C27">
        <v>197943776</v>
      </c>
      <c r="D27">
        <v>213956224</v>
      </c>
      <c r="E27">
        <f t="shared" si="0"/>
        <v>0.51943730031561064</v>
      </c>
    </row>
    <row r="28" spans="1:5" x14ac:dyDescent="0.3">
      <c r="A28" s="8" t="s">
        <v>511</v>
      </c>
      <c r="B28">
        <v>7116700000</v>
      </c>
      <c r="C28">
        <v>3355572382</v>
      </c>
      <c r="D28">
        <v>3761127618</v>
      </c>
      <c r="E28">
        <f t="shared" si="0"/>
        <v>0.52849320865007654</v>
      </c>
    </row>
  </sheetData>
  <conditionalFormatting sqref="E3:E28">
    <cfRule type="cellIs" dxfId="4" priority="4" operator="greaterThan">
      <formula>0.3</formula>
    </cfRule>
    <cfRule type="cellIs" dxfId="3" priority="5" operator="lessThan">
      <formula>0.3</formula>
    </cfRule>
  </conditionalFormatting>
  <conditionalFormatting sqref="K3:K7">
    <cfRule type="cellIs" dxfId="2" priority="2" operator="greaterThan">
      <formula>30</formula>
    </cfRule>
    <cfRule type="cellIs" dxfId="1" priority="3" operator="lessThan">
      <formula>0.3</formula>
    </cfRule>
  </conditionalFormatting>
  <conditionalFormatting sqref="K4:K7">
    <cfRule type="cellIs" dxfId="0" priority="1" operator="greaterThan">
      <formula>0.3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"/>
  <sheetViews>
    <sheetView showGridLines="0" tabSelected="1" zoomScale="66" workbookViewId="0">
      <selection activeCell="J26" sqref="J26"/>
    </sheetView>
  </sheetViews>
  <sheetFormatPr defaultRowHeight="14.4" x14ac:dyDescent="0.3"/>
  <cols>
    <col min="1" max="1" width="13.109375" customWidth="1"/>
    <col min="2" max="2" width="28.21875" customWidth="1"/>
    <col min="3" max="3" width="18" customWidth="1"/>
    <col min="4" max="4" width="29.5546875" customWidth="1"/>
    <col min="5" max="5" width="18" customWidth="1"/>
    <col min="6" max="6" width="30.109375" customWidth="1"/>
    <col min="7" max="9" width="18" customWidth="1"/>
    <col min="11" max="11" width="10.88671875" customWidth="1"/>
  </cols>
  <sheetData>
    <row r="1" spans="1:12" ht="17.399999999999999" x14ac:dyDescent="0.3">
      <c r="A1" s="10" t="s">
        <v>502</v>
      </c>
      <c r="B1" s="11"/>
      <c r="C1" s="11"/>
      <c r="D1" s="11"/>
      <c r="E1" s="11"/>
      <c r="F1" s="11"/>
      <c r="G1" s="11"/>
      <c r="H1" s="11"/>
    </row>
    <row r="2" spans="1:12" x14ac:dyDescent="0.3">
      <c r="A2" s="9" t="s">
        <v>517</v>
      </c>
    </row>
    <row r="4" spans="1:12" x14ac:dyDescent="0.3">
      <c r="B4" s="2" t="s">
        <v>503</v>
      </c>
      <c r="D4" s="2" t="s">
        <v>504</v>
      </c>
      <c r="F4" s="2" t="s">
        <v>505</v>
      </c>
      <c r="H4" s="2" t="s">
        <v>506</v>
      </c>
      <c r="K4" s="13" t="s">
        <v>518</v>
      </c>
      <c r="L4" s="14" t="s">
        <v>274</v>
      </c>
    </row>
    <row r="5" spans="1:12" ht="21" x14ac:dyDescent="0.4">
      <c r="B5" s="16">
        <f>_xlfn.XLOOKUP($L$4, 'Pivot Summary'!$A$4:$A$39, 'Pivot Summary'!$B$4:$B$39, 0)</f>
        <v>290900000</v>
      </c>
      <c r="D5" s="16">
        <f>_xlfn.XLOOKUP($L$4, 'Pivot Summary'!$A$4:$A$44, 'Pivot Summary'!$C$4:$C$44, 0)</f>
        <v>133880293</v>
      </c>
      <c r="F5" s="16">
        <f>_xlfn.XLOOKUP($L$4, 'Pivot Summary'!$A$4:$A$44, 'Pivot Summary'!$D$4:$D$44, 0)</f>
        <v>157019707</v>
      </c>
      <c r="H5" s="15">
        <f>_xlfn.XLOOKUP($L$4, 'Pivot Summary'!$A$4:$A$44, 'Pivot Summary'!$E$4:$E$44, 0)</f>
        <v>0.53977211069095909</v>
      </c>
    </row>
    <row r="37" spans="2:6" x14ac:dyDescent="0.3">
      <c r="B37" s="12" t="s">
        <v>519</v>
      </c>
      <c r="C37" s="12"/>
      <c r="D37" s="12"/>
      <c r="E37" s="12"/>
      <c r="F37" s="12"/>
    </row>
    <row r="38" spans="2:6" x14ac:dyDescent="0.3">
      <c r="B38" s="12"/>
      <c r="C38" s="12"/>
      <c r="D38" s="12"/>
      <c r="E38" s="12"/>
      <c r="F38" s="12"/>
    </row>
    <row r="40" spans="2:6" x14ac:dyDescent="0.3">
      <c r="B40" t="str">
        <f>"Pada "&amp;$L$4&amp;", total revenue sebesar "&amp;TEXT(B5,"Rp #,##0")&amp;", dengan profit margin "&amp;TEXT(H5,"0.00%")&amp;"."</f>
        <v>Pada 2023-01, total revenue sebesar Rp 290,900,000, dengan profit margin 53.98%.</v>
      </c>
    </row>
  </sheetData>
  <mergeCells count="2">
    <mergeCell ref="A1:H1"/>
    <mergeCell ref="B37:F38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122F0A-0FF4-458A-BC13-50E1C75A8C59}">
          <x14:formula1>
            <xm:f>'Pivot Summary'!$A$9:$A$44</xm:f>
          </x14:formula1>
          <xm:sqref>L4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0666-894D-44F0-B90D-BA4D92DA2FCD}">
  <dimension ref="A1:B4"/>
  <sheetViews>
    <sheetView workbookViewId="0">
      <selection sqref="A1:B4"/>
    </sheetView>
  </sheetViews>
  <sheetFormatPr defaultRowHeight="14.4" x14ac:dyDescent="0.3"/>
  <cols>
    <col min="1" max="1" width="13.33203125" customWidth="1"/>
    <col min="2" max="2" width="15.21875" style="3" customWidth="1"/>
  </cols>
  <sheetData>
    <row r="1" spans="1:2" x14ac:dyDescent="0.3">
      <c r="A1" t="s">
        <v>2</v>
      </c>
      <c r="B1" s="3" t="s">
        <v>509</v>
      </c>
    </row>
    <row r="2" spans="1:2" x14ac:dyDescent="0.3">
      <c r="A2" t="s">
        <v>12</v>
      </c>
      <c r="B2" s="3">
        <v>0.25</v>
      </c>
    </row>
    <row r="3" spans="1:2" x14ac:dyDescent="0.3">
      <c r="A3" t="s">
        <v>23</v>
      </c>
      <c r="B3" s="3">
        <v>0.35</v>
      </c>
    </row>
    <row r="4" spans="1:2" x14ac:dyDescent="0.3">
      <c r="A4" t="s">
        <v>20</v>
      </c>
      <c r="B4" s="3">
        <v>0.4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Pivot Summary</vt:lpstr>
      <vt:lpstr>Dashboard</vt:lpstr>
      <vt:lpstr>Target 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 rhalasya</cp:lastModifiedBy>
  <dcterms:created xsi:type="dcterms:W3CDTF">2026-06-07T08:46:12Z</dcterms:created>
  <dcterms:modified xsi:type="dcterms:W3CDTF">2026-06-10T01:28:14Z</dcterms:modified>
</cp:coreProperties>
</file>