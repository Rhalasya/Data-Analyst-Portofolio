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siis porto\"/>
    </mc:Choice>
  </mc:AlternateContent>
  <xr:revisionPtr revIDLastSave="0" documentId="13_ncr:1_{08F49354-E791-4E8D-BBFE-2FE39E8DA47B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Survey Raw" sheetId="1" r:id="rId1"/>
    <sheet name="Clean Data" sheetId="10" r:id="rId2"/>
    <sheet name="Monthly Trend" sheetId="9" r:id="rId3"/>
    <sheet name="Report" sheetId="8" r:id="rId4"/>
    <sheet name="Parameter" sheetId="4" r:id="rId5"/>
    <sheet name="NPS Summary" sheetId="5" r:id="rId6"/>
    <sheet name="City Breakdown" sheetId="6" r:id="rId7"/>
    <sheet name="Age Breakdown" sheetId="7" r:id="rId8"/>
  </sheets>
  <definedNames>
    <definedName name="ExternalData_1" localSheetId="1" hidden="1">'Clean Data'!$A$1:$X$201</definedName>
    <definedName name="Passive_Min">Parameter!$B$3</definedName>
    <definedName name="_xlnm.Print_Area" localSheetId="3">Report!$A$1:$H$52</definedName>
    <definedName name="Promoter_Min">Parameter!$B$2</definedName>
    <definedName name="Target_NPS">Parameter!$B$4</definedName>
    <definedName name="Target_Rating">Parameter!$B$5</definedName>
    <definedName name="Target_Response">Parameter!$B$6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9" i="10" l="1"/>
  <c r="A2" i="6" a="1"/>
  <c r="A2" i="6" s="1"/>
  <c r="A6" i="8"/>
  <c r="B26" i="8" s="1"/>
  <c r="B4" i="9"/>
  <c r="C4" i="9"/>
  <c r="B28" i="8"/>
  <c r="B25" i="8"/>
  <c r="K6" i="8"/>
  <c r="I6" i="8"/>
  <c r="G6" i="8"/>
  <c r="E6" i="8"/>
  <c r="C6" i="8"/>
  <c r="A13" i="9" a="1"/>
  <c r="A13" i="9" s="1"/>
  <c r="A4" i="9" a="1"/>
  <c r="A4" i="9" s="1"/>
  <c r="E3" i="7"/>
  <c r="F3" i="7"/>
  <c r="G3" i="7"/>
  <c r="H3" i="7"/>
  <c r="I3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J2" i="7"/>
  <c r="I2" i="7"/>
  <c r="H2" i="7"/>
  <c r="G2" i="7"/>
  <c r="F2" i="7"/>
  <c r="E2" i="7"/>
  <c r="D6" i="7"/>
  <c r="D3" i="7"/>
  <c r="D4" i="7"/>
  <c r="D5" i="7"/>
  <c r="D2" i="7"/>
  <c r="C2" i="7"/>
  <c r="C3" i="7"/>
  <c r="C4" i="7"/>
  <c r="C5" i="7"/>
  <c r="C6" i="7"/>
  <c r="B3" i="7"/>
  <c r="J3" i="7" s="1"/>
  <c r="B4" i="7"/>
  <c r="B5" i="7"/>
  <c r="B6" i="7"/>
  <c r="B2" i="7"/>
  <c r="B14" i="5"/>
  <c r="B13" i="5"/>
  <c r="B12" i="5"/>
  <c r="B11" i="5"/>
  <c r="B10" i="5"/>
  <c r="B9" i="5"/>
  <c r="B8" i="5"/>
  <c r="B7" i="5"/>
  <c r="B6" i="5"/>
  <c r="B5" i="5"/>
  <c r="B4" i="5"/>
  <c r="B3" i="5"/>
  <c r="B2" i="5"/>
  <c r="V8" i="10"/>
  <c r="V28" i="10"/>
  <c r="V40" i="10"/>
  <c r="V60" i="10"/>
  <c r="V72" i="10"/>
  <c r="V92" i="10"/>
  <c r="V104" i="10"/>
  <c r="V124" i="10"/>
  <c r="V136" i="10"/>
  <c r="S2" i="10"/>
  <c r="T2" i="10" s="1"/>
  <c r="S3" i="10"/>
  <c r="T3" i="10" s="1"/>
  <c r="S4" i="10"/>
  <c r="T4" i="10" s="1"/>
  <c r="S5" i="10"/>
  <c r="T5" i="10" s="1"/>
  <c r="S6" i="10"/>
  <c r="S7" i="10"/>
  <c r="S8" i="10"/>
  <c r="T8" i="10" s="1"/>
  <c r="S9" i="10"/>
  <c r="T9" i="10" s="1"/>
  <c r="S10" i="10"/>
  <c r="T10" i="10" s="1"/>
  <c r="S11" i="10"/>
  <c r="T11" i="10" s="1"/>
  <c r="S12" i="10"/>
  <c r="T12" i="10" s="1"/>
  <c r="S13" i="10"/>
  <c r="T13" i="10" s="1"/>
  <c r="S14" i="10"/>
  <c r="S15" i="10"/>
  <c r="S16" i="10"/>
  <c r="T16" i="10" s="1"/>
  <c r="S17" i="10"/>
  <c r="T17" i="10" s="1"/>
  <c r="S18" i="10"/>
  <c r="T18" i="10" s="1"/>
  <c r="S19" i="10"/>
  <c r="T19" i="10" s="1"/>
  <c r="S20" i="10"/>
  <c r="T20" i="10" s="1"/>
  <c r="S21" i="10"/>
  <c r="T21" i="10" s="1"/>
  <c r="S22" i="10"/>
  <c r="S23" i="10"/>
  <c r="S24" i="10"/>
  <c r="T24" i="10" s="1"/>
  <c r="S25" i="10"/>
  <c r="T25" i="10" s="1"/>
  <c r="S26" i="10"/>
  <c r="T26" i="10" s="1"/>
  <c r="S27" i="10"/>
  <c r="T27" i="10" s="1"/>
  <c r="S28" i="10"/>
  <c r="T28" i="10" s="1"/>
  <c r="S29" i="10"/>
  <c r="T29" i="10" s="1"/>
  <c r="S30" i="10"/>
  <c r="S31" i="10"/>
  <c r="S32" i="10"/>
  <c r="T32" i="10" s="1"/>
  <c r="S33" i="10"/>
  <c r="T33" i="10" s="1"/>
  <c r="S34" i="10"/>
  <c r="T34" i="10" s="1"/>
  <c r="S35" i="10"/>
  <c r="T35" i="10" s="1"/>
  <c r="S36" i="10"/>
  <c r="T36" i="10" s="1"/>
  <c r="S37" i="10"/>
  <c r="T37" i="10" s="1"/>
  <c r="S38" i="10"/>
  <c r="S39" i="10"/>
  <c r="S40" i="10"/>
  <c r="T40" i="10" s="1"/>
  <c r="S41" i="10"/>
  <c r="T41" i="10" s="1"/>
  <c r="S42" i="10"/>
  <c r="T42" i="10" s="1"/>
  <c r="S43" i="10"/>
  <c r="T43" i="10" s="1"/>
  <c r="S44" i="10"/>
  <c r="T44" i="10" s="1"/>
  <c r="S45" i="10"/>
  <c r="T45" i="10" s="1"/>
  <c r="S46" i="10"/>
  <c r="S47" i="10"/>
  <c r="S48" i="10"/>
  <c r="T48" i="10" s="1"/>
  <c r="S49" i="10"/>
  <c r="T49" i="10" s="1"/>
  <c r="S50" i="10"/>
  <c r="T50" i="10" s="1"/>
  <c r="S51" i="10"/>
  <c r="T51" i="10" s="1"/>
  <c r="S52" i="10"/>
  <c r="T52" i="10" s="1"/>
  <c r="S53" i="10"/>
  <c r="T53" i="10" s="1"/>
  <c r="S54" i="10"/>
  <c r="S55" i="10"/>
  <c r="S56" i="10"/>
  <c r="T56" i="10" s="1"/>
  <c r="S57" i="10"/>
  <c r="T57" i="10" s="1"/>
  <c r="S58" i="10"/>
  <c r="T58" i="10" s="1"/>
  <c r="S59" i="10"/>
  <c r="T59" i="10" s="1"/>
  <c r="S60" i="10"/>
  <c r="T60" i="10" s="1"/>
  <c r="S61" i="10"/>
  <c r="T61" i="10" s="1"/>
  <c r="S62" i="10"/>
  <c r="S63" i="10"/>
  <c r="S64" i="10"/>
  <c r="T64" i="10" s="1"/>
  <c r="S65" i="10"/>
  <c r="T65" i="10" s="1"/>
  <c r="S66" i="10"/>
  <c r="T66" i="10" s="1"/>
  <c r="S67" i="10"/>
  <c r="T67" i="10" s="1"/>
  <c r="S68" i="10"/>
  <c r="T68" i="10" s="1"/>
  <c r="S69" i="10"/>
  <c r="T69" i="10" s="1"/>
  <c r="S70" i="10"/>
  <c r="S71" i="10"/>
  <c r="S72" i="10"/>
  <c r="T72" i="10" s="1"/>
  <c r="S73" i="10"/>
  <c r="T73" i="10" s="1"/>
  <c r="S74" i="10"/>
  <c r="T74" i="10" s="1"/>
  <c r="S75" i="10"/>
  <c r="T75" i="10" s="1"/>
  <c r="S76" i="10"/>
  <c r="T76" i="10" s="1"/>
  <c r="S77" i="10"/>
  <c r="T77" i="10" s="1"/>
  <c r="S78" i="10"/>
  <c r="S79" i="10"/>
  <c r="S80" i="10"/>
  <c r="T80" i="10" s="1"/>
  <c r="S81" i="10"/>
  <c r="T81" i="10" s="1"/>
  <c r="S82" i="10"/>
  <c r="T82" i="10" s="1"/>
  <c r="S83" i="10"/>
  <c r="T83" i="10" s="1"/>
  <c r="S84" i="10"/>
  <c r="T84" i="10" s="1"/>
  <c r="S85" i="10"/>
  <c r="T85" i="10" s="1"/>
  <c r="S86" i="10"/>
  <c r="S87" i="10"/>
  <c r="S88" i="10"/>
  <c r="T88" i="10" s="1"/>
  <c r="S89" i="10"/>
  <c r="T89" i="10" s="1"/>
  <c r="S90" i="10"/>
  <c r="T90" i="10" s="1"/>
  <c r="S91" i="10"/>
  <c r="T91" i="10" s="1"/>
  <c r="S92" i="10"/>
  <c r="T92" i="10" s="1"/>
  <c r="S93" i="10"/>
  <c r="T93" i="10" s="1"/>
  <c r="S94" i="10"/>
  <c r="S95" i="10"/>
  <c r="S96" i="10"/>
  <c r="T96" i="10" s="1"/>
  <c r="S97" i="10"/>
  <c r="T97" i="10" s="1"/>
  <c r="S98" i="10"/>
  <c r="T98" i="10" s="1"/>
  <c r="S99" i="10"/>
  <c r="T99" i="10" s="1"/>
  <c r="S100" i="10"/>
  <c r="T100" i="10" s="1"/>
  <c r="S101" i="10"/>
  <c r="T101" i="10" s="1"/>
  <c r="S102" i="10"/>
  <c r="S103" i="10"/>
  <c r="S104" i="10"/>
  <c r="T104" i="10" s="1"/>
  <c r="S105" i="10"/>
  <c r="T105" i="10" s="1"/>
  <c r="S106" i="10"/>
  <c r="T106" i="10" s="1"/>
  <c r="S107" i="10"/>
  <c r="T107" i="10" s="1"/>
  <c r="S108" i="10"/>
  <c r="T108" i="10" s="1"/>
  <c r="S109" i="10"/>
  <c r="T109" i="10" s="1"/>
  <c r="S110" i="10"/>
  <c r="S111" i="10"/>
  <c r="S112" i="10"/>
  <c r="T112" i="10" s="1"/>
  <c r="S113" i="10"/>
  <c r="T113" i="10" s="1"/>
  <c r="S114" i="10"/>
  <c r="T114" i="10" s="1"/>
  <c r="S115" i="10"/>
  <c r="T115" i="10" s="1"/>
  <c r="S116" i="10"/>
  <c r="T116" i="10" s="1"/>
  <c r="S117" i="10"/>
  <c r="T117" i="10" s="1"/>
  <c r="S118" i="10"/>
  <c r="S119" i="10"/>
  <c r="S120" i="10"/>
  <c r="T120" i="10" s="1"/>
  <c r="S121" i="10"/>
  <c r="T121" i="10" s="1"/>
  <c r="S122" i="10"/>
  <c r="T122" i="10" s="1"/>
  <c r="S123" i="10"/>
  <c r="T123" i="10" s="1"/>
  <c r="S124" i="10"/>
  <c r="T124" i="10" s="1"/>
  <c r="S125" i="10"/>
  <c r="T125" i="10" s="1"/>
  <c r="S126" i="10"/>
  <c r="S127" i="10"/>
  <c r="S128" i="10"/>
  <c r="T128" i="10" s="1"/>
  <c r="S129" i="10"/>
  <c r="T129" i="10" s="1"/>
  <c r="S130" i="10"/>
  <c r="T130" i="10" s="1"/>
  <c r="S131" i="10"/>
  <c r="T131" i="10" s="1"/>
  <c r="S132" i="10"/>
  <c r="T132" i="10" s="1"/>
  <c r="S133" i="10"/>
  <c r="T133" i="10" s="1"/>
  <c r="S134" i="10"/>
  <c r="S135" i="10"/>
  <c r="S136" i="10"/>
  <c r="T136" i="10" s="1"/>
  <c r="S137" i="10"/>
  <c r="T137" i="10" s="1"/>
  <c r="S138" i="10"/>
  <c r="T138" i="10" s="1"/>
  <c r="S139" i="10"/>
  <c r="T139" i="10" s="1"/>
  <c r="S140" i="10"/>
  <c r="T140" i="10" s="1"/>
  <c r="S141" i="10"/>
  <c r="T141" i="10" s="1"/>
  <c r="S142" i="10"/>
  <c r="S143" i="10"/>
  <c r="S144" i="10"/>
  <c r="T144" i="10" s="1"/>
  <c r="S145" i="10"/>
  <c r="T145" i="10" s="1"/>
  <c r="S146" i="10"/>
  <c r="T146" i="10" s="1"/>
  <c r="S147" i="10"/>
  <c r="T147" i="10" s="1"/>
  <c r="S148" i="10"/>
  <c r="T148" i="10" s="1"/>
  <c r="S149" i="10"/>
  <c r="T149" i="10" s="1"/>
  <c r="S150" i="10"/>
  <c r="T150" i="10" s="1"/>
  <c r="S151" i="10"/>
  <c r="T151" i="10" s="1"/>
  <c r="S152" i="10"/>
  <c r="T152" i="10" s="1"/>
  <c r="S153" i="10"/>
  <c r="T153" i="10" s="1"/>
  <c r="S154" i="10"/>
  <c r="T154" i="10" s="1"/>
  <c r="S155" i="10"/>
  <c r="T155" i="10" s="1"/>
  <c r="S156" i="10"/>
  <c r="T156" i="10" s="1"/>
  <c r="S157" i="10"/>
  <c r="T157" i="10" s="1"/>
  <c r="S158" i="10"/>
  <c r="T158" i="10" s="1"/>
  <c r="S159" i="10"/>
  <c r="T159" i="10" s="1"/>
  <c r="S160" i="10"/>
  <c r="T160" i="10" s="1"/>
  <c r="S161" i="10"/>
  <c r="T161" i="10" s="1"/>
  <c r="S162" i="10"/>
  <c r="T162" i="10" s="1"/>
  <c r="S163" i="10"/>
  <c r="T163" i="10" s="1"/>
  <c r="S164" i="10"/>
  <c r="T164" i="10" s="1"/>
  <c r="S165" i="10"/>
  <c r="T165" i="10" s="1"/>
  <c r="S166" i="10"/>
  <c r="T166" i="10" s="1"/>
  <c r="S167" i="10"/>
  <c r="T167" i="10" s="1"/>
  <c r="S168" i="10"/>
  <c r="T168" i="10" s="1"/>
  <c r="S169" i="10"/>
  <c r="T169" i="10" s="1"/>
  <c r="S170" i="10"/>
  <c r="T170" i="10" s="1"/>
  <c r="S171" i="10"/>
  <c r="T171" i="10" s="1"/>
  <c r="S172" i="10"/>
  <c r="T172" i="10" s="1"/>
  <c r="S173" i="10"/>
  <c r="T173" i="10" s="1"/>
  <c r="S174" i="10"/>
  <c r="T174" i="10" s="1"/>
  <c r="S175" i="10"/>
  <c r="T175" i="10" s="1"/>
  <c r="S176" i="10"/>
  <c r="T176" i="10" s="1"/>
  <c r="S177" i="10"/>
  <c r="T177" i="10" s="1"/>
  <c r="S178" i="10"/>
  <c r="T178" i="10" s="1"/>
  <c r="S179" i="10"/>
  <c r="T179" i="10" s="1"/>
  <c r="S180" i="10"/>
  <c r="T180" i="10" s="1"/>
  <c r="S181" i="10"/>
  <c r="T181" i="10" s="1"/>
  <c r="S182" i="10"/>
  <c r="T182" i="10" s="1"/>
  <c r="S183" i="10"/>
  <c r="T183" i="10" s="1"/>
  <c r="S184" i="10"/>
  <c r="T184" i="10" s="1"/>
  <c r="S185" i="10"/>
  <c r="T185" i="10" s="1"/>
  <c r="S186" i="10"/>
  <c r="T186" i="10" s="1"/>
  <c r="S187" i="10"/>
  <c r="T187" i="10" s="1"/>
  <c r="S188" i="10"/>
  <c r="T188" i="10" s="1"/>
  <c r="S189" i="10"/>
  <c r="T189" i="10" s="1"/>
  <c r="S190" i="10"/>
  <c r="T190" i="10" s="1"/>
  <c r="S191" i="10"/>
  <c r="T191" i="10" s="1"/>
  <c r="S192" i="10"/>
  <c r="T192" i="10" s="1"/>
  <c r="S193" i="10"/>
  <c r="T193" i="10" s="1"/>
  <c r="S194" i="10"/>
  <c r="T194" i="10" s="1"/>
  <c r="S195" i="10"/>
  <c r="T195" i="10" s="1"/>
  <c r="S196" i="10"/>
  <c r="T196" i="10" s="1"/>
  <c r="S197" i="10"/>
  <c r="T197" i="10" s="1"/>
  <c r="S198" i="10"/>
  <c r="T198" i="10" s="1"/>
  <c r="S199" i="10"/>
  <c r="T199" i="10" s="1"/>
  <c r="S200" i="10"/>
  <c r="T200" i="10" s="1"/>
  <c r="S201" i="10"/>
  <c r="T201" i="10" s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I34" i="6" l="1"/>
  <c r="D18" i="6"/>
  <c r="G30" i="6"/>
  <c r="I3" i="6"/>
  <c r="D26" i="6"/>
  <c r="I7" i="6"/>
  <c r="D34" i="6"/>
  <c r="I11" i="6"/>
  <c r="D7" i="6"/>
  <c r="I15" i="6"/>
  <c r="C3" i="6"/>
  <c r="I19" i="6"/>
  <c r="C19" i="6"/>
  <c r="H23" i="6"/>
  <c r="C35" i="6"/>
  <c r="I30" i="6"/>
  <c r="H27" i="6"/>
  <c r="B28" i="6"/>
  <c r="H9" i="9"/>
  <c r="H8" i="9"/>
  <c r="H7" i="9"/>
  <c r="H6" i="9"/>
  <c r="H5" i="9"/>
  <c r="B12" i="9" a="1"/>
  <c r="D47" i="9" s="1"/>
  <c r="T143" i="10"/>
  <c r="V143" i="10"/>
  <c r="T135" i="10"/>
  <c r="V135" i="10"/>
  <c r="T127" i="10"/>
  <c r="V127" i="10"/>
  <c r="T119" i="10"/>
  <c r="V119" i="10"/>
  <c r="T111" i="10"/>
  <c r="V111" i="10"/>
  <c r="T103" i="10"/>
  <c r="V103" i="10"/>
  <c r="T95" i="10"/>
  <c r="V95" i="10"/>
  <c r="T87" i="10"/>
  <c r="V87" i="10"/>
  <c r="T79" i="10"/>
  <c r="V79" i="10"/>
  <c r="T71" i="10"/>
  <c r="V71" i="10"/>
  <c r="T63" i="10"/>
  <c r="V63" i="10"/>
  <c r="T55" i="10"/>
  <c r="V55" i="10"/>
  <c r="T47" i="10"/>
  <c r="V47" i="10"/>
  <c r="V39" i="10"/>
  <c r="T31" i="10"/>
  <c r="V31" i="10"/>
  <c r="T23" i="10"/>
  <c r="V23" i="10"/>
  <c r="T15" i="10"/>
  <c r="V15" i="10"/>
  <c r="T7" i="10"/>
  <c r="V7" i="10"/>
  <c r="V199" i="10"/>
  <c r="V191" i="10"/>
  <c r="V183" i="10"/>
  <c r="V175" i="10"/>
  <c r="V167" i="10"/>
  <c r="V159" i="10"/>
  <c r="V151" i="10"/>
  <c r="V141" i="10"/>
  <c r="V131" i="10"/>
  <c r="V121" i="10"/>
  <c r="V109" i="10"/>
  <c r="V99" i="10"/>
  <c r="V89" i="10"/>
  <c r="V77" i="10"/>
  <c r="V67" i="10"/>
  <c r="V57" i="10"/>
  <c r="V45" i="10"/>
  <c r="V35" i="10"/>
  <c r="V25" i="10"/>
  <c r="V13" i="10"/>
  <c r="V3" i="10"/>
  <c r="B37" i="6"/>
  <c r="B21" i="6"/>
  <c r="C28" i="6"/>
  <c r="C12" i="6"/>
  <c r="E11" i="6"/>
  <c r="E3" i="6"/>
  <c r="E30" i="6"/>
  <c r="E22" i="6"/>
  <c r="I29" i="6"/>
  <c r="I25" i="6"/>
  <c r="I21" i="6"/>
  <c r="F18" i="6"/>
  <c r="F14" i="6"/>
  <c r="F10" i="6"/>
  <c r="F6" i="6"/>
  <c r="F37" i="6"/>
  <c r="F33" i="6"/>
  <c r="V186" i="10"/>
  <c r="V178" i="10"/>
  <c r="V170" i="10"/>
  <c r="V162" i="10"/>
  <c r="V146" i="10"/>
  <c r="T142" i="10"/>
  <c r="V142" i="10"/>
  <c r="T134" i="10"/>
  <c r="V134" i="10"/>
  <c r="T126" i="10"/>
  <c r="V126" i="10"/>
  <c r="T118" i="10"/>
  <c r="V118" i="10"/>
  <c r="T110" i="10"/>
  <c r="V110" i="10"/>
  <c r="T102" i="10"/>
  <c r="V102" i="10"/>
  <c r="T94" i="10"/>
  <c r="V94" i="10"/>
  <c r="T86" i="10"/>
  <c r="V86" i="10"/>
  <c r="T78" i="10"/>
  <c r="V78" i="10"/>
  <c r="T70" i="10"/>
  <c r="V70" i="10"/>
  <c r="T62" i="10"/>
  <c r="V62" i="10"/>
  <c r="T54" i="10"/>
  <c r="V54" i="10"/>
  <c r="T46" i="10"/>
  <c r="V46" i="10"/>
  <c r="T38" i="10"/>
  <c r="V38" i="10"/>
  <c r="T30" i="10"/>
  <c r="V30" i="10"/>
  <c r="T22" i="10"/>
  <c r="V22" i="10"/>
  <c r="T14" i="10"/>
  <c r="V14" i="10"/>
  <c r="T6" i="10"/>
  <c r="V6" i="10"/>
  <c r="V198" i="10"/>
  <c r="V190" i="10"/>
  <c r="V182" i="10"/>
  <c r="V174" i="10"/>
  <c r="V166" i="10"/>
  <c r="V158" i="10"/>
  <c r="V150" i="10"/>
  <c r="V140" i="10"/>
  <c r="V130" i="10"/>
  <c r="V120" i="10"/>
  <c r="V108" i="10"/>
  <c r="V98" i="10"/>
  <c r="V88" i="10"/>
  <c r="V76" i="10"/>
  <c r="V66" i="10"/>
  <c r="V56" i="10"/>
  <c r="V44" i="10"/>
  <c r="V34" i="10"/>
  <c r="V24" i="10"/>
  <c r="V12" i="10"/>
  <c r="V2" i="10"/>
  <c r="B36" i="6"/>
  <c r="B20" i="6"/>
  <c r="C27" i="6"/>
  <c r="C11" i="6"/>
  <c r="D11" i="6"/>
  <c r="D3" i="6"/>
  <c r="D30" i="6"/>
  <c r="D22" i="6"/>
  <c r="H29" i="6"/>
  <c r="H25" i="6"/>
  <c r="H21" i="6"/>
  <c r="I17" i="6"/>
  <c r="I13" i="6"/>
  <c r="I9" i="6"/>
  <c r="I5" i="6"/>
  <c r="I36" i="6"/>
  <c r="I32" i="6"/>
  <c r="H4" i="9"/>
  <c r="G4" i="9"/>
  <c r="F4" i="9"/>
  <c r="E4" i="9"/>
  <c r="D4" i="9"/>
  <c r="V194" i="10"/>
  <c r="V154" i="10"/>
  <c r="V82" i="10"/>
  <c r="V197" i="10"/>
  <c r="V189" i="10"/>
  <c r="V181" i="10"/>
  <c r="V173" i="10"/>
  <c r="V165" i="10"/>
  <c r="V157" i="10"/>
  <c r="V149" i="10"/>
  <c r="V139" i="10"/>
  <c r="V129" i="10"/>
  <c r="V117" i="10"/>
  <c r="V107" i="10"/>
  <c r="V97" i="10"/>
  <c r="V85" i="10"/>
  <c r="V75" i="10"/>
  <c r="V65" i="10"/>
  <c r="V53" i="10"/>
  <c r="V43" i="10"/>
  <c r="V33" i="10"/>
  <c r="V21" i="10"/>
  <c r="V11" i="10"/>
  <c r="B34" i="6"/>
  <c r="B18" i="6"/>
  <c r="C25" i="6"/>
  <c r="C9" i="6"/>
  <c r="D10" i="6"/>
  <c r="D37" i="6"/>
  <c r="D29" i="6"/>
  <c r="D21" i="6"/>
  <c r="F29" i="6"/>
  <c r="F25" i="6"/>
  <c r="F21" i="6"/>
  <c r="G17" i="6"/>
  <c r="G13" i="6"/>
  <c r="G9" i="6"/>
  <c r="G5" i="6"/>
  <c r="G36" i="6"/>
  <c r="G32" i="6"/>
  <c r="J5" i="7"/>
  <c r="V196" i="10"/>
  <c r="V188" i="10"/>
  <c r="V180" i="10"/>
  <c r="V172" i="10"/>
  <c r="V164" i="10"/>
  <c r="V156" i="10"/>
  <c r="V148" i="10"/>
  <c r="V138" i="10"/>
  <c r="V128" i="10"/>
  <c r="V116" i="10"/>
  <c r="V106" i="10"/>
  <c r="V96" i="10"/>
  <c r="V84" i="10"/>
  <c r="V74" i="10"/>
  <c r="V64" i="10"/>
  <c r="V52" i="10"/>
  <c r="V42" i="10"/>
  <c r="V32" i="10"/>
  <c r="V20" i="10"/>
  <c r="V10" i="10"/>
  <c r="B30" i="6"/>
  <c r="C37" i="6"/>
  <c r="C21" i="6"/>
  <c r="C5" i="6"/>
  <c r="D8" i="6"/>
  <c r="D35" i="6"/>
  <c r="D27" i="6"/>
  <c r="D19" i="6"/>
  <c r="F28" i="6"/>
  <c r="F24" i="6"/>
  <c r="G20" i="6"/>
  <c r="G16" i="6"/>
  <c r="G12" i="6"/>
  <c r="G8" i="6"/>
  <c r="G4" i="6"/>
  <c r="G35" i="6"/>
  <c r="G31" i="6"/>
  <c r="V114" i="10"/>
  <c r="V195" i="10"/>
  <c r="V187" i="10"/>
  <c r="V179" i="10"/>
  <c r="V171" i="10"/>
  <c r="V163" i="10"/>
  <c r="V155" i="10"/>
  <c r="V147" i="10"/>
  <c r="V137" i="10"/>
  <c r="V125" i="10"/>
  <c r="V115" i="10"/>
  <c r="V105" i="10"/>
  <c r="V93" i="10"/>
  <c r="V83" i="10"/>
  <c r="V73" i="10"/>
  <c r="V61" i="10"/>
  <c r="V51" i="10"/>
  <c r="V41" i="10"/>
  <c r="V29" i="10"/>
  <c r="V19" i="10"/>
  <c r="V9" i="10"/>
  <c r="B29" i="6"/>
  <c r="C36" i="6"/>
  <c r="C20" i="6"/>
  <c r="C4" i="6"/>
  <c r="E7" i="6"/>
  <c r="E34" i="6"/>
  <c r="E26" i="6"/>
  <c r="E18" i="6"/>
  <c r="I27" i="6"/>
  <c r="I23" i="6"/>
  <c r="F20" i="6"/>
  <c r="F16" i="6"/>
  <c r="F12" i="6"/>
  <c r="F8" i="6"/>
  <c r="F4" i="6"/>
  <c r="F35" i="6"/>
  <c r="F31" i="6"/>
  <c r="V50" i="10"/>
  <c r="V18" i="10"/>
  <c r="V201" i="10"/>
  <c r="V193" i="10"/>
  <c r="V185" i="10"/>
  <c r="V177" i="10"/>
  <c r="V169" i="10"/>
  <c r="V161" i="10"/>
  <c r="V153" i="10"/>
  <c r="V145" i="10"/>
  <c r="V133" i="10"/>
  <c r="V123" i="10"/>
  <c r="V113" i="10"/>
  <c r="V101" i="10"/>
  <c r="V91" i="10"/>
  <c r="V81" i="10"/>
  <c r="V69" i="10"/>
  <c r="V59" i="10"/>
  <c r="V49" i="10"/>
  <c r="V37" i="10"/>
  <c r="V27" i="10"/>
  <c r="V17" i="10"/>
  <c r="V5" i="10"/>
  <c r="B26" i="6"/>
  <c r="C33" i="6"/>
  <c r="C17" i="6"/>
  <c r="D14" i="6"/>
  <c r="D6" i="6"/>
  <c r="D33" i="6"/>
  <c r="D25" i="6"/>
  <c r="D17" i="6"/>
  <c r="F27" i="6"/>
  <c r="F23" i="6"/>
  <c r="G19" i="6"/>
  <c r="G15" i="6"/>
  <c r="G11" i="6"/>
  <c r="G7" i="6"/>
  <c r="G3" i="6"/>
  <c r="G34" i="6"/>
  <c r="V200" i="10"/>
  <c r="V192" i="10"/>
  <c r="V184" i="10"/>
  <c r="V176" i="10"/>
  <c r="V168" i="10"/>
  <c r="V160" i="10"/>
  <c r="V152" i="10"/>
  <c r="V144" i="10"/>
  <c r="V132" i="10"/>
  <c r="V122" i="10"/>
  <c r="V112" i="10"/>
  <c r="V100" i="10"/>
  <c r="V90" i="10"/>
  <c r="V80" i="10"/>
  <c r="V68" i="10"/>
  <c r="V58" i="10"/>
  <c r="V48" i="10"/>
  <c r="V36" i="10"/>
  <c r="V26" i="10"/>
  <c r="V16" i="10"/>
  <c r="V4" i="10"/>
  <c r="D2" i="6"/>
  <c r="H31" i="6"/>
  <c r="H33" i="6"/>
  <c r="H35" i="6"/>
  <c r="H37" i="6"/>
  <c r="H4" i="6"/>
  <c r="H6" i="6"/>
  <c r="H8" i="6"/>
  <c r="H10" i="6"/>
  <c r="H12" i="6"/>
  <c r="H14" i="6"/>
  <c r="H16" i="6"/>
  <c r="H18" i="6"/>
  <c r="H20" i="6"/>
  <c r="G22" i="6"/>
  <c r="G24" i="6"/>
  <c r="G26" i="6"/>
  <c r="G28" i="6"/>
  <c r="E15" i="6"/>
  <c r="E19" i="6"/>
  <c r="E23" i="6"/>
  <c r="E27" i="6"/>
  <c r="E31" i="6"/>
  <c r="E35" i="6"/>
  <c r="E4" i="6"/>
  <c r="E8" i="6"/>
  <c r="E12" i="6"/>
  <c r="C6" i="6"/>
  <c r="C14" i="6"/>
  <c r="C22" i="6"/>
  <c r="C30" i="6"/>
  <c r="B15" i="6"/>
  <c r="B23" i="6"/>
  <c r="B31" i="6"/>
  <c r="I31" i="6"/>
  <c r="I33" i="6"/>
  <c r="I35" i="6"/>
  <c r="I37" i="6"/>
  <c r="I4" i="6"/>
  <c r="I6" i="6"/>
  <c r="I8" i="6"/>
  <c r="I10" i="6"/>
  <c r="I12" i="6"/>
  <c r="I14" i="6"/>
  <c r="I16" i="6"/>
  <c r="I18" i="6"/>
  <c r="I20" i="6"/>
  <c r="H22" i="6"/>
  <c r="H24" i="6"/>
  <c r="H26" i="6"/>
  <c r="H28" i="6"/>
  <c r="D16" i="6"/>
  <c r="D20" i="6"/>
  <c r="D24" i="6"/>
  <c r="D28" i="6"/>
  <c r="D32" i="6"/>
  <c r="D36" i="6"/>
  <c r="D5" i="6"/>
  <c r="D9" i="6"/>
  <c r="D13" i="6"/>
  <c r="C7" i="6"/>
  <c r="C15" i="6"/>
  <c r="C23" i="6"/>
  <c r="C31" i="6"/>
  <c r="B16" i="6"/>
  <c r="B24" i="6"/>
  <c r="B32" i="6"/>
  <c r="F30" i="6"/>
  <c r="F32" i="6"/>
  <c r="F34" i="6"/>
  <c r="F36" i="6"/>
  <c r="F3" i="6"/>
  <c r="F5" i="6"/>
  <c r="F7" i="6"/>
  <c r="F9" i="6"/>
  <c r="F11" i="6"/>
  <c r="F13" i="6"/>
  <c r="F15" i="6"/>
  <c r="F17" i="6"/>
  <c r="F19" i="6"/>
  <c r="I22" i="6"/>
  <c r="I24" i="6"/>
  <c r="I26" i="6"/>
  <c r="I28" i="6"/>
  <c r="E16" i="6"/>
  <c r="E20" i="6"/>
  <c r="E24" i="6"/>
  <c r="E28" i="6"/>
  <c r="E32" i="6"/>
  <c r="E36" i="6"/>
  <c r="E5" i="6"/>
  <c r="E9" i="6"/>
  <c r="E13" i="6"/>
  <c r="C8" i="6"/>
  <c r="C16" i="6"/>
  <c r="C24" i="6"/>
  <c r="C32" i="6"/>
  <c r="B17" i="6"/>
  <c r="B25" i="6"/>
  <c r="B33" i="6"/>
  <c r="H30" i="6"/>
  <c r="H32" i="6"/>
  <c r="H34" i="6"/>
  <c r="H36" i="6"/>
  <c r="H3" i="6"/>
  <c r="H5" i="6"/>
  <c r="H7" i="6"/>
  <c r="H9" i="6"/>
  <c r="H11" i="6"/>
  <c r="H13" i="6"/>
  <c r="H15" i="6"/>
  <c r="H17" i="6"/>
  <c r="H19" i="6"/>
  <c r="G21" i="6"/>
  <c r="G23" i="6"/>
  <c r="G25" i="6"/>
  <c r="G27" i="6"/>
  <c r="G29" i="6"/>
  <c r="E17" i="6"/>
  <c r="E21" i="6"/>
  <c r="E25" i="6"/>
  <c r="E29" i="6"/>
  <c r="E33" i="6"/>
  <c r="E37" i="6"/>
  <c r="E6" i="6"/>
  <c r="E10" i="6"/>
  <c r="E14" i="6"/>
  <c r="C10" i="6"/>
  <c r="C18" i="6"/>
  <c r="C26" i="6"/>
  <c r="C34" i="6"/>
  <c r="B19" i="6"/>
  <c r="B27" i="6"/>
  <c r="B35" i="6"/>
  <c r="B22" i="6"/>
  <c r="C29" i="6"/>
  <c r="C13" i="6"/>
  <c r="D12" i="6"/>
  <c r="D4" i="6"/>
  <c r="D31" i="6"/>
  <c r="D23" i="6"/>
  <c r="D15" i="6"/>
  <c r="F26" i="6"/>
  <c r="F22" i="6"/>
  <c r="G18" i="6"/>
  <c r="G14" i="6"/>
  <c r="G10" i="6"/>
  <c r="G6" i="6"/>
  <c r="G37" i="6"/>
  <c r="G33" i="6"/>
  <c r="J6" i="7"/>
  <c r="G9" i="9"/>
  <c r="G8" i="9"/>
  <c r="G7" i="9"/>
  <c r="G6" i="9"/>
  <c r="G5" i="9"/>
  <c r="F9" i="9"/>
  <c r="F8" i="9"/>
  <c r="F7" i="9"/>
  <c r="F6" i="9"/>
  <c r="F5" i="9"/>
  <c r="E9" i="9"/>
  <c r="E8" i="9"/>
  <c r="E7" i="9"/>
  <c r="E6" i="9"/>
  <c r="E5" i="9"/>
  <c r="J4" i="7"/>
  <c r="D9" i="9"/>
  <c r="D8" i="9"/>
  <c r="D7" i="9"/>
  <c r="D6" i="9"/>
  <c r="D5" i="9"/>
  <c r="D41" i="9"/>
  <c r="D48" i="9"/>
  <c r="C9" i="9"/>
  <c r="C8" i="9"/>
  <c r="C7" i="9"/>
  <c r="C6" i="9"/>
  <c r="C5" i="9"/>
  <c r="B9" i="9"/>
  <c r="B8" i="9"/>
  <c r="B7" i="9"/>
  <c r="B6" i="9"/>
  <c r="B5" i="9"/>
  <c r="D45" i="9"/>
  <c r="D43" i="9"/>
  <c r="D46" i="9"/>
  <c r="B10" i="6"/>
  <c r="B14" i="6"/>
  <c r="B9" i="6"/>
  <c r="B8" i="6"/>
  <c r="B7" i="6"/>
  <c r="B6" i="6"/>
  <c r="B5" i="6"/>
  <c r="B12" i="6"/>
  <c r="B4" i="6"/>
  <c r="B13" i="6"/>
  <c r="B11" i="6"/>
  <c r="B3" i="6"/>
  <c r="U201" i="10"/>
  <c r="U193" i="10"/>
  <c r="U185" i="10"/>
  <c r="U177" i="10"/>
  <c r="U169" i="10"/>
  <c r="U161" i="10"/>
  <c r="U153" i="10"/>
  <c r="U145" i="10"/>
  <c r="U137" i="10"/>
  <c r="U129" i="10"/>
  <c r="U121" i="10"/>
  <c r="U113" i="10"/>
  <c r="U105" i="10"/>
  <c r="U97" i="10"/>
  <c r="U89" i="10"/>
  <c r="U81" i="10"/>
  <c r="U73" i="10"/>
  <c r="U65" i="10"/>
  <c r="U57" i="10"/>
  <c r="U49" i="10"/>
  <c r="U41" i="10"/>
  <c r="U33" i="10"/>
  <c r="U25" i="10"/>
  <c r="U17" i="10"/>
  <c r="U9" i="10"/>
  <c r="U200" i="10"/>
  <c r="U192" i="10"/>
  <c r="U184" i="10"/>
  <c r="U176" i="10"/>
  <c r="U168" i="10"/>
  <c r="U160" i="10"/>
  <c r="U152" i="10"/>
  <c r="U144" i="10"/>
  <c r="U136" i="10"/>
  <c r="U128" i="10"/>
  <c r="U120" i="10"/>
  <c r="U112" i="10"/>
  <c r="U104" i="10"/>
  <c r="U96" i="10"/>
  <c r="U88" i="10"/>
  <c r="U80" i="10"/>
  <c r="U72" i="10"/>
  <c r="U64" i="10"/>
  <c r="U56" i="10"/>
  <c r="U48" i="10"/>
  <c r="U40" i="10"/>
  <c r="U32" i="10"/>
  <c r="U24" i="10"/>
  <c r="U16" i="10"/>
  <c r="U8" i="10"/>
  <c r="U199" i="10"/>
  <c r="U191" i="10"/>
  <c r="U183" i="10"/>
  <c r="U175" i="10"/>
  <c r="U167" i="10"/>
  <c r="U159" i="10"/>
  <c r="U151" i="10"/>
  <c r="U143" i="10"/>
  <c r="U135" i="10"/>
  <c r="U127" i="10"/>
  <c r="U119" i="10"/>
  <c r="U111" i="10"/>
  <c r="U103" i="10"/>
  <c r="U95" i="10"/>
  <c r="U87" i="10"/>
  <c r="U79" i="10"/>
  <c r="U71" i="10"/>
  <c r="U63" i="10"/>
  <c r="U55" i="10"/>
  <c r="U47" i="10"/>
  <c r="U39" i="10"/>
  <c r="U31" i="10"/>
  <c r="U23" i="10"/>
  <c r="U15" i="10"/>
  <c r="U7" i="10"/>
  <c r="U198" i="10"/>
  <c r="U190" i="10"/>
  <c r="U182" i="10"/>
  <c r="U174" i="10"/>
  <c r="U166" i="10"/>
  <c r="U158" i="10"/>
  <c r="U150" i="10"/>
  <c r="U142" i="10"/>
  <c r="U134" i="10"/>
  <c r="U126" i="10"/>
  <c r="U118" i="10"/>
  <c r="U110" i="10"/>
  <c r="U102" i="10"/>
  <c r="U94" i="10"/>
  <c r="U86" i="10"/>
  <c r="U78" i="10"/>
  <c r="U70" i="10"/>
  <c r="U62" i="10"/>
  <c r="U54" i="10"/>
  <c r="U46" i="10"/>
  <c r="U38" i="10"/>
  <c r="U30" i="10"/>
  <c r="U22" i="10"/>
  <c r="U14" i="10"/>
  <c r="U6" i="10"/>
  <c r="U197" i="10"/>
  <c r="U189" i="10"/>
  <c r="U181" i="10"/>
  <c r="U173" i="10"/>
  <c r="U165" i="10"/>
  <c r="U157" i="10"/>
  <c r="U149" i="10"/>
  <c r="U141" i="10"/>
  <c r="U133" i="10"/>
  <c r="U125" i="10"/>
  <c r="U117" i="10"/>
  <c r="U109" i="10"/>
  <c r="U101" i="10"/>
  <c r="U93" i="10"/>
  <c r="U85" i="10"/>
  <c r="U77" i="10"/>
  <c r="U69" i="10"/>
  <c r="U61" i="10"/>
  <c r="U53" i="10"/>
  <c r="U45" i="10"/>
  <c r="U37" i="10"/>
  <c r="U29" i="10"/>
  <c r="U21" i="10"/>
  <c r="U13" i="10"/>
  <c r="U5" i="10"/>
  <c r="U196" i="10"/>
  <c r="U188" i="10"/>
  <c r="U180" i="10"/>
  <c r="U172" i="10"/>
  <c r="U164" i="10"/>
  <c r="U156" i="10"/>
  <c r="U148" i="10"/>
  <c r="U140" i="10"/>
  <c r="U132" i="10"/>
  <c r="U124" i="10"/>
  <c r="U116" i="10"/>
  <c r="U108" i="10"/>
  <c r="U100" i="10"/>
  <c r="U92" i="10"/>
  <c r="U84" i="10"/>
  <c r="U76" i="10"/>
  <c r="U68" i="10"/>
  <c r="U60" i="10"/>
  <c r="U52" i="10"/>
  <c r="U44" i="10"/>
  <c r="U36" i="10"/>
  <c r="U28" i="10"/>
  <c r="U20" i="10"/>
  <c r="U12" i="10"/>
  <c r="U4" i="10"/>
  <c r="U195" i="10"/>
  <c r="U187" i="10"/>
  <c r="U179" i="10"/>
  <c r="U171" i="10"/>
  <c r="U163" i="10"/>
  <c r="U155" i="10"/>
  <c r="U147" i="10"/>
  <c r="U139" i="10"/>
  <c r="U131" i="10"/>
  <c r="U123" i="10"/>
  <c r="U115" i="10"/>
  <c r="U107" i="10"/>
  <c r="U99" i="10"/>
  <c r="U91" i="10"/>
  <c r="U83" i="10"/>
  <c r="U75" i="10"/>
  <c r="U67" i="10"/>
  <c r="U59" i="10"/>
  <c r="U51" i="10"/>
  <c r="U43" i="10"/>
  <c r="U35" i="10"/>
  <c r="U27" i="10"/>
  <c r="U19" i="10"/>
  <c r="U11" i="10"/>
  <c r="U3" i="10"/>
  <c r="U194" i="10"/>
  <c r="U186" i="10"/>
  <c r="U178" i="10"/>
  <c r="U170" i="10"/>
  <c r="U162" i="10"/>
  <c r="U154" i="10"/>
  <c r="U146" i="10"/>
  <c r="U138" i="10"/>
  <c r="U130" i="10"/>
  <c r="U122" i="10"/>
  <c r="U114" i="10"/>
  <c r="U106" i="10"/>
  <c r="U98" i="10"/>
  <c r="U90" i="10"/>
  <c r="U82" i="10"/>
  <c r="U74" i="10"/>
  <c r="U66" i="10"/>
  <c r="U58" i="10"/>
  <c r="U50" i="10"/>
  <c r="U42" i="10"/>
  <c r="U34" i="10"/>
  <c r="U26" i="10"/>
  <c r="U18" i="10"/>
  <c r="U10" i="10"/>
  <c r="U2" i="10"/>
  <c r="J11" i="6" l="1"/>
  <c r="J15" i="6"/>
  <c r="J23" i="6"/>
  <c r="J21" i="6"/>
  <c r="J16" i="6"/>
  <c r="J37" i="6"/>
  <c r="J30" i="6"/>
  <c r="J4" i="6"/>
  <c r="J29" i="6"/>
  <c r="J14" i="6"/>
  <c r="J35" i="6"/>
  <c r="J22" i="6"/>
  <c r="J24" i="6"/>
  <c r="J36" i="6"/>
  <c r="J7" i="6"/>
  <c r="J32" i="6"/>
  <c r="J10" i="6"/>
  <c r="E2" i="6"/>
  <c r="G2" i="6"/>
  <c r="J27" i="6"/>
  <c r="J17" i="6"/>
  <c r="J26" i="6"/>
  <c r="J31" i="6"/>
  <c r="J18" i="6"/>
  <c r="J8" i="6"/>
  <c r="J34" i="6"/>
  <c r="J13" i="6"/>
  <c r="J20" i="6"/>
  <c r="I8" i="9"/>
  <c r="D42" i="9"/>
  <c r="B12" i="9"/>
  <c r="G14" i="9"/>
  <c r="G22" i="9"/>
  <c r="G30" i="9"/>
  <c r="G38" i="9"/>
  <c r="G46" i="9"/>
  <c r="F19" i="9"/>
  <c r="F27" i="9"/>
  <c r="F35" i="9"/>
  <c r="F43" i="9"/>
  <c r="E14" i="9"/>
  <c r="E22" i="9"/>
  <c r="E30" i="9"/>
  <c r="E38" i="9"/>
  <c r="E46" i="9"/>
  <c r="D29" i="9"/>
  <c r="D37" i="9"/>
  <c r="D18" i="9"/>
  <c r="C13" i="9"/>
  <c r="C48" i="9"/>
  <c r="C31" i="9"/>
  <c r="C26" i="9"/>
  <c r="C15" i="9"/>
  <c r="G15" i="9"/>
  <c r="G23" i="9"/>
  <c r="G31" i="9"/>
  <c r="G39" i="9"/>
  <c r="G47" i="9"/>
  <c r="F20" i="9"/>
  <c r="F28" i="9"/>
  <c r="F36" i="9"/>
  <c r="F44" i="9"/>
  <c r="E15" i="9"/>
  <c r="E23" i="9"/>
  <c r="E31" i="9"/>
  <c r="E39" i="9"/>
  <c r="E47" i="9"/>
  <c r="D30" i="9"/>
  <c r="D38" i="9"/>
  <c r="D19" i="9"/>
  <c r="C41" i="9"/>
  <c r="C34" i="9"/>
  <c r="C32" i="9"/>
  <c r="C27" i="9"/>
  <c r="C16" i="9"/>
  <c r="G16" i="9"/>
  <c r="G24" i="9"/>
  <c r="G32" i="9"/>
  <c r="G40" i="9"/>
  <c r="G48" i="9"/>
  <c r="F21" i="9"/>
  <c r="F29" i="9"/>
  <c r="F37" i="9"/>
  <c r="F45" i="9"/>
  <c r="E16" i="9"/>
  <c r="E24" i="9"/>
  <c r="E32" i="9"/>
  <c r="E40" i="9"/>
  <c r="E48" i="9"/>
  <c r="D31" i="9"/>
  <c r="D39" i="9"/>
  <c r="D20" i="9"/>
  <c r="C42" i="9"/>
  <c r="C35" i="9"/>
  <c r="C33" i="9"/>
  <c r="C28" i="9"/>
  <c r="C17" i="9"/>
  <c r="G17" i="9"/>
  <c r="G25" i="9"/>
  <c r="G33" i="9"/>
  <c r="G41" i="9"/>
  <c r="G13" i="9"/>
  <c r="F22" i="9"/>
  <c r="F30" i="9"/>
  <c r="F38" i="9"/>
  <c r="F46" i="9"/>
  <c r="E17" i="9"/>
  <c r="E25" i="9"/>
  <c r="E33" i="9"/>
  <c r="E41" i="9"/>
  <c r="E13" i="9"/>
  <c r="D32" i="9"/>
  <c r="D40" i="9"/>
  <c r="D21" i="9"/>
  <c r="C43" i="9"/>
  <c r="C36" i="9"/>
  <c r="C21" i="9"/>
  <c r="C29" i="9"/>
  <c r="C14" i="9"/>
  <c r="G18" i="9"/>
  <c r="G26" i="9"/>
  <c r="G34" i="9"/>
  <c r="G42" i="9"/>
  <c r="F15" i="9"/>
  <c r="F23" i="9"/>
  <c r="F31" i="9"/>
  <c r="F39" i="9"/>
  <c r="F47" i="9"/>
  <c r="E18" i="9"/>
  <c r="E26" i="9"/>
  <c r="E34" i="9"/>
  <c r="E42" i="9"/>
  <c r="D25" i="9"/>
  <c r="D33" i="9"/>
  <c r="D14" i="9"/>
  <c r="D22" i="9"/>
  <c r="C44" i="9"/>
  <c r="C37" i="9"/>
  <c r="C22" i="9"/>
  <c r="C30" i="9"/>
  <c r="G19" i="9"/>
  <c r="G27" i="9"/>
  <c r="G35" i="9"/>
  <c r="G43" i="9"/>
  <c r="F16" i="9"/>
  <c r="F24" i="9"/>
  <c r="F32" i="9"/>
  <c r="F40" i="9"/>
  <c r="F48" i="9"/>
  <c r="E19" i="9"/>
  <c r="E27" i="9"/>
  <c r="E35" i="9"/>
  <c r="E43" i="9"/>
  <c r="D26" i="9"/>
  <c r="D34" i="9"/>
  <c r="D15" i="9"/>
  <c r="D23" i="9"/>
  <c r="C45" i="9"/>
  <c r="C38" i="9"/>
  <c r="C23" i="9"/>
  <c r="C18" i="9"/>
  <c r="G20" i="9"/>
  <c r="G28" i="9"/>
  <c r="G36" i="9"/>
  <c r="G44" i="9"/>
  <c r="F17" i="9"/>
  <c r="F25" i="9"/>
  <c r="F33" i="9"/>
  <c r="F41" i="9"/>
  <c r="F14" i="9"/>
  <c r="E20" i="9"/>
  <c r="E28" i="9"/>
  <c r="E36" i="9"/>
  <c r="E44" i="9"/>
  <c r="D27" i="9"/>
  <c r="D35" i="9"/>
  <c r="D16" i="9"/>
  <c r="D24" i="9"/>
  <c r="C46" i="9"/>
  <c r="C39" i="9"/>
  <c r="C24" i="9"/>
  <c r="C19" i="9"/>
  <c r="G21" i="9"/>
  <c r="G29" i="9"/>
  <c r="G37" i="9"/>
  <c r="G45" i="9"/>
  <c r="F18" i="9"/>
  <c r="F26" i="9"/>
  <c r="F34" i="9"/>
  <c r="F42" i="9"/>
  <c r="F13" i="9"/>
  <c r="E21" i="9"/>
  <c r="E29" i="9"/>
  <c r="E37" i="9"/>
  <c r="E45" i="9"/>
  <c r="D28" i="9"/>
  <c r="D36" i="9"/>
  <c r="D17" i="9"/>
  <c r="D13" i="9"/>
  <c r="C47" i="9"/>
  <c r="C40" i="9"/>
  <c r="C25" i="9"/>
  <c r="C20" i="9"/>
  <c r="I4" i="9"/>
  <c r="B27" i="8" s="1"/>
  <c r="D44" i="9"/>
  <c r="I7" i="9"/>
  <c r="J5" i="6"/>
  <c r="H2" i="6"/>
  <c r="J6" i="6"/>
  <c r="F2" i="6"/>
  <c r="J25" i="6"/>
  <c r="J12" i="6"/>
  <c r="I9" i="9"/>
  <c r="I2" i="6"/>
  <c r="J3" i="6"/>
  <c r="C2" i="6"/>
  <c r="J19" i="6"/>
  <c r="J9" i="6"/>
  <c r="B2" i="6"/>
  <c r="I5" i="9"/>
  <c r="I6" i="9"/>
  <c r="J28" i="6"/>
  <c r="J33" i="6"/>
  <c r="J2" i="6" l="1"/>
  <c r="B21" i="9"/>
  <c r="B14" i="9"/>
  <c r="B15" i="9"/>
  <c r="B16" i="9"/>
  <c r="B17" i="9"/>
  <c r="B13" i="9"/>
  <c r="B18" i="9"/>
  <c r="B19" i="9"/>
  <c r="B20" i="9"/>
  <c r="B46" i="9"/>
  <c r="B32" i="9"/>
  <c r="B41" i="9"/>
  <c r="B42" i="9"/>
  <c r="B43" i="9"/>
  <c r="B28" i="9"/>
  <c r="B37" i="9"/>
  <c r="B38" i="9"/>
  <c r="B39" i="9"/>
  <c r="B24" i="9"/>
  <c r="B33" i="9"/>
  <c r="B34" i="9"/>
  <c r="B35" i="9"/>
  <c r="B29" i="9"/>
  <c r="B30" i="9"/>
  <c r="B31" i="9"/>
  <c r="B44" i="9"/>
  <c r="B47" i="9"/>
  <c r="B25" i="9"/>
  <c r="B26" i="9"/>
  <c r="B27" i="9"/>
  <c r="B48" i="9"/>
  <c r="B22" i="9"/>
  <c r="B36" i="9"/>
  <c r="B23" i="9"/>
  <c r="B45" i="9"/>
  <c r="B4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D2C3EE-B829-41D1-AA0A-B83ADBF9227F}" keepAlive="1" name="Query - pq_survey_clean" description="Connection to the 'pq_survey_clean' query in the workbook." type="5" refreshedVersion="8" background="1" saveData="1">
    <dbPr connection="Provider=Microsoft.Mashup.OleDb.1;Data Source=$Workbook$;Location=pq_survey_clean;Extended Properties=&quot;&quot;" command="SELECT * FROM [pq_survey_clea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<sst xmlns="http://schemas.openxmlformats.org/spreadsheetml/2006/main" count="4320" uniqueCount="411">
  <si>
    <t>Respondent_ID</t>
  </si>
  <si>
    <t>Nama</t>
  </si>
  <si>
    <t>Usia</t>
  </si>
  <si>
    <t>Kelompok_Usia</t>
  </si>
  <si>
    <t>Kota</t>
  </si>
  <si>
    <t>Provinsi</t>
  </si>
  <si>
    <t>Gender</t>
  </si>
  <si>
    <t>Lama_Jadi_Pelanggan_Bln</t>
  </si>
  <si>
    <t>Rating_Produk</t>
  </si>
  <si>
    <t>Rating_Pelayanan</t>
  </si>
  <si>
    <t>Rating_Harga</t>
  </si>
  <si>
    <t>Rating_Pengiriman</t>
  </si>
  <si>
    <t>NPS_Score</t>
  </si>
  <si>
    <t>Kategori_NPS</t>
  </si>
  <si>
    <t>Sumber_Tahu</t>
  </si>
  <si>
    <t>Frekuensi_Beli</t>
  </si>
  <si>
    <t>Total_Belanja_Setahun</t>
  </si>
  <si>
    <t>Komentar</t>
  </si>
  <si>
    <t>RESP0001</t>
  </si>
  <si>
    <t>Lukman Hakim</t>
  </si>
  <si>
    <t>35-44</t>
  </si>
  <si>
    <t>Semarang</t>
  </si>
  <si>
    <t>Jawa Tengah</t>
  </si>
  <si>
    <t>Perempuan</t>
  </si>
  <si>
    <t>Passive</t>
  </si>
  <si>
    <t>Google Search</t>
  </si>
  <si>
    <t>6-10x/bulan</t>
  </si>
  <si>
    <t>Perlu beberapa perbaikan minor</t>
  </si>
  <si>
    <t>RESP0002</t>
  </si>
  <si>
    <t>Agus Salim</t>
  </si>
  <si>
    <t>45-54</t>
  </si>
  <si>
    <t>Surabaya</t>
  </si>
  <si>
    <t>Jawa Timur</t>
  </si>
  <si>
    <t>Detractor</t>
  </si>
  <si>
    <t>Rekomendasi Teman</t>
  </si>
  <si>
    <t>3-5x/bulan</t>
  </si>
  <si>
    <t>Harga naik tapi kualitas sama saja</t>
  </si>
  <si>
    <t>RESP0003</t>
  </si>
  <si>
    <t>Xavier Tan</t>
  </si>
  <si>
    <t>Dumai</t>
  </si>
  <si>
    <t>Riau</t>
  </si>
  <si>
    <t>Laki-laki</t>
  </si>
  <si>
    <t>Promoter</t>
  </si>
  <si>
    <t>Media Sosial</t>
  </si>
  <si>
    <t>1-2x/bulan</t>
  </si>
  <si>
    <t>Harga terjangkau untuk kualitas segini</t>
  </si>
  <si>
    <t>RESP0004</t>
  </si>
  <si>
    <t>Doni Kurniawan</t>
  </si>
  <si>
    <t>Bantul</t>
  </si>
  <si>
    <t>Yogyakarta</t>
  </si>
  <si>
    <t>Iklan Online</t>
  </si>
  <si>
    <t>Lebih dari 10x/bulan</t>
  </si>
  <si>
    <t>RESP0005</t>
  </si>
  <si>
    <t>Sari Utami</t>
  </si>
  <si>
    <t>25-34</t>
  </si>
  <si>
    <t>Serang</t>
  </si>
  <si>
    <t>Banten</t>
  </si>
  <si>
    <t>Pengiriman agak lama dari estimasi</t>
  </si>
  <si>
    <t>RESP0006</t>
  </si>
  <si>
    <t>Maya Anggraeni</t>
  </si>
  <si>
    <t>Sorong</t>
  </si>
  <si>
    <t>Papua</t>
  </si>
  <si>
    <t>Produk sangat berkualitas, saya puas!</t>
  </si>
  <si>
    <t>RESP0007</t>
  </si>
  <si>
    <t>Samarinda</t>
  </si>
  <si>
    <t>Kalimantan Timur</t>
  </si>
  <si>
    <t>Susah dihubungi ketika ada masalah</t>
  </si>
  <si>
    <t>RESP0008</t>
  </si>
  <si>
    <t>Rizky Firmansyah</t>
  </si>
  <si>
    <t>Word of Mouth</t>
  </si>
  <si>
    <t>RESP0009</t>
  </si>
  <si>
    <t>Panji Nugroho</t>
  </si>
  <si>
    <t>Medan</t>
  </si>
  <si>
    <t>Sumatera Utara</t>
  </si>
  <si>
    <t>RESP0010</t>
  </si>
  <si>
    <t>Xena Fitria</t>
  </si>
  <si>
    <t>RESP0011</t>
  </si>
  <si>
    <t>Mirza Fadli</t>
  </si>
  <si>
    <t>Kuta</t>
  </si>
  <si>
    <t>Bali</t>
  </si>
  <si>
    <t>Proses return barang terlalu ribet</t>
  </si>
  <si>
    <t>RESP0012</t>
  </si>
  <si>
    <t>Yoga Pratama</t>
  </si>
  <si>
    <t>55+</t>
  </si>
  <si>
    <t>Standar saja, tidak ada yang istimewa</t>
  </si>
  <si>
    <t>RESP0013</t>
  </si>
  <si>
    <t>Sinta Dewi</t>
  </si>
  <si>
    <t>Perlu peningkatan pada packaging</t>
  </si>
  <si>
    <t>RESP0014</t>
  </si>
  <si>
    <t>Wulandari</t>
  </si>
  <si>
    <t>17-24</t>
  </si>
  <si>
    <t>Pematangsiantar</t>
  </si>
  <si>
    <t>Cukup baik untuk harganya</t>
  </si>
  <si>
    <t>RESP0015</t>
  </si>
  <si>
    <t>Omar Hakim</t>
  </si>
  <si>
    <t>Makassar</t>
  </si>
  <si>
    <t>Sulawesi Selatan</t>
  </si>
  <si>
    <t>Pengiriman cepat dan packaging aman</t>
  </si>
  <si>
    <t>RESP0016</t>
  </si>
  <si>
    <t>Clara Indah</t>
  </si>
  <si>
    <t>Jayapura</t>
  </si>
  <si>
    <t>RESP0017</t>
  </si>
  <si>
    <t>Joko Widodo</t>
  </si>
  <si>
    <t>RESP0018</t>
  </si>
  <si>
    <t>Jasmine Putri</t>
  </si>
  <si>
    <t>Bandar Lampung</t>
  </si>
  <si>
    <t>Lampung</t>
  </si>
  <si>
    <t>Marketplace</t>
  </si>
  <si>
    <t>Jarang (kurang dari 1x/bulan)</t>
  </si>
  <si>
    <t>RESP0019</t>
  </si>
  <si>
    <t>Dian Rahayu</t>
  </si>
  <si>
    <t>RESP0020</t>
  </si>
  <si>
    <t>Fani Kusuma</t>
  </si>
  <si>
    <t>RESP0021</t>
  </si>
  <si>
    <t>Putri Anggraini</t>
  </si>
  <si>
    <t>Solo</t>
  </si>
  <si>
    <t>RESP0022</t>
  </si>
  <si>
    <t>Hendra Gunawan</t>
  </si>
  <si>
    <t>Ubud</t>
  </si>
  <si>
    <t>RESP0023</t>
  </si>
  <si>
    <t>Andi Pratama</t>
  </si>
  <si>
    <t>Ada beberapa produk yang tidak sesuai foto</t>
  </si>
  <si>
    <t>RESP0024</t>
  </si>
  <si>
    <t>Rendi Setiawan</t>
  </si>
  <si>
    <t>Lubuklinggau</t>
  </si>
  <si>
    <t>Sumatera Selatan</t>
  </si>
  <si>
    <t>Sudah berlangganan 2 tahun, selalu puas</t>
  </si>
  <si>
    <t>RESP0025</t>
  </si>
  <si>
    <t>Vicky Prasetyo</t>
  </si>
  <si>
    <t>Bandung</t>
  </si>
  <si>
    <t>Jawa Barat</t>
  </si>
  <si>
    <t>RESP0026</t>
  </si>
  <si>
    <t>RESP0027</t>
  </si>
  <si>
    <t>RESP0028</t>
  </si>
  <si>
    <t>Binjai</t>
  </si>
  <si>
    <t>RESP0029</t>
  </si>
  <si>
    <t>Uci Rahayu</t>
  </si>
  <si>
    <t>RESP0030</t>
  </si>
  <si>
    <t>Citra Dewi</t>
  </si>
  <si>
    <t>RESP0031</t>
  </si>
  <si>
    <t>Pekanbaru</t>
  </si>
  <si>
    <t>RESP0032</t>
  </si>
  <si>
    <t>Parepare</t>
  </si>
  <si>
    <t>Akan rekomendasikan ke teman-teman</t>
  </si>
  <si>
    <t>RESP0033</t>
  </si>
  <si>
    <t>Linda Hartini</t>
  </si>
  <si>
    <t>RESP0034</t>
  </si>
  <si>
    <t>Tommy Santoso</t>
  </si>
  <si>
    <t>RESP0035</t>
  </si>
  <si>
    <t>Eko Wahyudi</t>
  </si>
  <si>
    <t>RESP0036</t>
  </si>
  <si>
    <t>Gita Novia</t>
  </si>
  <si>
    <t>Balikpapan</t>
  </si>
  <si>
    <t>RESP0037</t>
  </si>
  <si>
    <t>RESP0038</t>
  </si>
  <si>
    <t>RESP0039</t>
  </si>
  <si>
    <t>Tangerang</t>
  </si>
  <si>
    <t>RESP0040</t>
  </si>
  <si>
    <t>RESP0041</t>
  </si>
  <si>
    <t>Olivia Tan</t>
  </si>
  <si>
    <t>Jakarta Selatan</t>
  </si>
  <si>
    <t>DKI Jakarta</t>
  </si>
  <si>
    <t>RESP0042</t>
  </si>
  <si>
    <t>Jakarta Pusat</t>
  </si>
  <si>
    <t>RESP0043</t>
  </si>
  <si>
    <t>Qori Wahyuni</t>
  </si>
  <si>
    <t>Palembang</t>
  </si>
  <si>
    <t>RESP0044</t>
  </si>
  <si>
    <t>RESP0045</t>
  </si>
  <si>
    <t>Sleman</t>
  </si>
  <si>
    <t>RESP0046</t>
  </si>
  <si>
    <t>Denpasar</t>
  </si>
  <si>
    <t>RESP0047</t>
  </si>
  <si>
    <t>Bagas Prakoso</t>
  </si>
  <si>
    <t>Sidoarjo</t>
  </si>
  <si>
    <t>RESP0048</t>
  </si>
  <si>
    <t>Ulfa Nurhasanah</t>
  </si>
  <si>
    <t>RESP0049</t>
  </si>
  <si>
    <t>RESP0050</t>
  </si>
  <si>
    <t>Ika Permata</t>
  </si>
  <si>
    <t>RESP0051</t>
  </si>
  <si>
    <t>RESP0052</t>
  </si>
  <si>
    <t>RESP0053</t>
  </si>
  <si>
    <t>Kevin Setiawan</t>
  </si>
  <si>
    <t>RESP0054</t>
  </si>
  <si>
    <t>RESP0055</t>
  </si>
  <si>
    <t>Oke lah, bisa dicoba lagi</t>
  </si>
  <si>
    <t>RESP0056</t>
  </si>
  <si>
    <t>RESP0057</t>
  </si>
  <si>
    <t>Victor Chandra</t>
  </si>
  <si>
    <t>RESP0058</t>
  </si>
  <si>
    <t>RESP0059</t>
  </si>
  <si>
    <t>Nanda Putra</t>
  </si>
  <si>
    <t>RESP0060</t>
  </si>
  <si>
    <t>RESP0061</t>
  </si>
  <si>
    <t>RESP0062</t>
  </si>
  <si>
    <t>RESP0063</t>
  </si>
  <si>
    <t>RESP0064</t>
  </si>
  <si>
    <t>RESP0065</t>
  </si>
  <si>
    <t>Yeni Marlina</t>
  </si>
  <si>
    <t>Cilegon</t>
  </si>
  <si>
    <t>RESP0066</t>
  </si>
  <si>
    <t>RESP0067</t>
  </si>
  <si>
    <t>Malang</t>
  </si>
  <si>
    <t>RESP0068</t>
  </si>
  <si>
    <t>RESP0069</t>
  </si>
  <si>
    <t>RESP0070</t>
  </si>
  <si>
    <t>RESP0071</t>
  </si>
  <si>
    <t>Produk sesuai deskripsi, tidak mengecewakan</t>
  </si>
  <si>
    <t>RESP0072</t>
  </si>
  <si>
    <t>RESP0073</t>
  </si>
  <si>
    <t>RESP0074</t>
  </si>
  <si>
    <t>RESP0075</t>
  </si>
  <si>
    <t>Nadia Sari</t>
  </si>
  <si>
    <t>RESP0076</t>
  </si>
  <si>
    <t>Gilang Permana</t>
  </si>
  <si>
    <t>RESP0077</t>
  </si>
  <si>
    <t>Kartika Sari</t>
  </si>
  <si>
    <t>Jakarta Barat</t>
  </si>
  <si>
    <t>RESP0078</t>
  </si>
  <si>
    <t>Irfan Maulana</t>
  </si>
  <si>
    <t>RESP0079</t>
  </si>
  <si>
    <t>RESP0080</t>
  </si>
  <si>
    <t>Wawan Hermawan</t>
  </si>
  <si>
    <t>RESP0081</t>
  </si>
  <si>
    <t>RESP0082</t>
  </si>
  <si>
    <t>RESP0083</t>
  </si>
  <si>
    <t>Bogor</t>
  </si>
  <si>
    <t>RESP0084</t>
  </si>
  <si>
    <t>RESP0085</t>
  </si>
  <si>
    <t>RESP0086</t>
  </si>
  <si>
    <t>RESP0087</t>
  </si>
  <si>
    <t>RESP0088</t>
  </si>
  <si>
    <t>RESP0089</t>
  </si>
  <si>
    <t>RESP0090</t>
  </si>
  <si>
    <t>RESP0091</t>
  </si>
  <si>
    <t>RESP0092</t>
  </si>
  <si>
    <t>RESP0093</t>
  </si>
  <si>
    <t>RESP0094</t>
  </si>
  <si>
    <t>Budi Santoso</t>
  </si>
  <si>
    <t>RESP0095</t>
  </si>
  <si>
    <t>RESP0096</t>
  </si>
  <si>
    <t>RESP0097</t>
  </si>
  <si>
    <t>RESP0098</t>
  </si>
  <si>
    <t>RESP0099</t>
  </si>
  <si>
    <t>Bekasi</t>
  </si>
  <si>
    <t>RESP0100</t>
  </si>
  <si>
    <t>Hani Safitri</t>
  </si>
  <si>
    <t>RESP0101</t>
  </si>
  <si>
    <t>RESP0102</t>
  </si>
  <si>
    <t>RESP0103</t>
  </si>
  <si>
    <t>RESP0104</t>
  </si>
  <si>
    <t>RESP0105</t>
  </si>
  <si>
    <t>RESP0106</t>
  </si>
  <si>
    <t>RESP0107</t>
  </si>
  <si>
    <t>RESP0108</t>
  </si>
  <si>
    <t>RESP0109</t>
  </si>
  <si>
    <t>RESP0110</t>
  </si>
  <si>
    <t>RESP0111</t>
  </si>
  <si>
    <t>Taufik Hidayat</t>
  </si>
  <si>
    <t>RESP0112</t>
  </si>
  <si>
    <t>Fadhil Rahman</t>
  </si>
  <si>
    <t>RESP0113</t>
  </si>
  <si>
    <t>RESP0114</t>
  </si>
  <si>
    <t>RESP0115</t>
  </si>
  <si>
    <t>RESP0116</t>
  </si>
  <si>
    <t>RESP0117</t>
  </si>
  <si>
    <t>RESP0118</t>
  </si>
  <si>
    <t>RESP0119</t>
  </si>
  <si>
    <t>RESP0120</t>
  </si>
  <si>
    <t>RESP0121</t>
  </si>
  <si>
    <t>RESP0122</t>
  </si>
  <si>
    <t>RESP0123</t>
  </si>
  <si>
    <t>Customer service sangat responsif</t>
  </si>
  <si>
    <t>RESP0124</t>
  </si>
  <si>
    <t>RESP0125</t>
  </si>
  <si>
    <t>RESP0126</t>
  </si>
  <si>
    <t>RESP0127</t>
  </si>
  <si>
    <t>RESP0128</t>
  </si>
  <si>
    <t>RESP0129</t>
  </si>
  <si>
    <t>RESP0130</t>
  </si>
  <si>
    <t>RESP0131</t>
  </si>
  <si>
    <t>RESP0132</t>
  </si>
  <si>
    <t>RESP0133</t>
  </si>
  <si>
    <t>RESP0134</t>
  </si>
  <si>
    <t>RESP0135</t>
  </si>
  <si>
    <t>RESP0136</t>
  </si>
  <si>
    <t>RESP0137</t>
  </si>
  <si>
    <t>RESP0138</t>
  </si>
  <si>
    <t>RESP0139</t>
  </si>
  <si>
    <t>RESP0140</t>
  </si>
  <si>
    <t>RESP0141</t>
  </si>
  <si>
    <t>RESP0142</t>
  </si>
  <si>
    <t>RESP0143</t>
  </si>
  <si>
    <t>RESP0144</t>
  </si>
  <si>
    <t>RESP0145</t>
  </si>
  <si>
    <t>RESP0146</t>
  </si>
  <si>
    <t>RESP0147</t>
  </si>
  <si>
    <t>RESP0148</t>
  </si>
  <si>
    <t>RESP0149</t>
  </si>
  <si>
    <t>RESP0150</t>
  </si>
  <si>
    <t>RESP0151</t>
  </si>
  <si>
    <t>RESP0152</t>
  </si>
  <si>
    <t>RESP0153</t>
  </si>
  <si>
    <t>RESP0154</t>
  </si>
  <si>
    <t>RESP0155</t>
  </si>
  <si>
    <t>RESP0156</t>
  </si>
  <si>
    <t>RESP0157</t>
  </si>
  <si>
    <t>RESP0158</t>
  </si>
  <si>
    <t>RESP0159</t>
  </si>
  <si>
    <t>RESP0160</t>
  </si>
  <si>
    <t>RESP0161</t>
  </si>
  <si>
    <t>RESP0162</t>
  </si>
  <si>
    <t>RESP0163</t>
  </si>
  <si>
    <t>RESP0164</t>
  </si>
  <si>
    <t>RESP0165</t>
  </si>
  <si>
    <t>RESP0166</t>
  </si>
  <si>
    <t>Erika Susanti</t>
  </si>
  <si>
    <t>RESP0167</t>
  </si>
  <si>
    <t>RESP0168</t>
  </si>
  <si>
    <t>RESP0169</t>
  </si>
  <si>
    <t>RESP0170</t>
  </si>
  <si>
    <t>RESP0171</t>
  </si>
  <si>
    <t>Magelang</t>
  </si>
  <si>
    <t>RESP0172</t>
  </si>
  <si>
    <t>RESP0173</t>
  </si>
  <si>
    <t>RESP0174</t>
  </si>
  <si>
    <t>RESP0175</t>
  </si>
  <si>
    <t>RESP0176</t>
  </si>
  <si>
    <t>Zainal Abidin</t>
  </si>
  <si>
    <t>RESP0177</t>
  </si>
  <si>
    <t>Metro</t>
  </si>
  <si>
    <t>RESP0178</t>
  </si>
  <si>
    <t>RESP0179</t>
  </si>
  <si>
    <t>RESP0180</t>
  </si>
  <si>
    <t>RESP0181</t>
  </si>
  <si>
    <t>RESP0182</t>
  </si>
  <si>
    <t>RESP0183</t>
  </si>
  <si>
    <t>RESP0184</t>
  </si>
  <si>
    <t>RESP0185</t>
  </si>
  <si>
    <t>RESP0186</t>
  </si>
  <si>
    <t>RESP0187</t>
  </si>
  <si>
    <t>RESP0188</t>
  </si>
  <si>
    <t>RESP0189</t>
  </si>
  <si>
    <t>RESP0190</t>
  </si>
  <si>
    <t>RESP0191</t>
  </si>
  <si>
    <t>RESP0192</t>
  </si>
  <si>
    <t>RESP0193</t>
  </si>
  <si>
    <t>RESP0194</t>
  </si>
  <si>
    <t>RESP0195</t>
  </si>
  <si>
    <t>RESP0196</t>
  </si>
  <si>
    <t>RESP0197</t>
  </si>
  <si>
    <t>RESP0198</t>
  </si>
  <si>
    <t>RESP0199</t>
  </si>
  <si>
    <t>RESP0200</t>
  </si>
  <si>
    <t>Metric</t>
  </si>
  <si>
    <t>Total Responden</t>
  </si>
  <si>
    <t>NPS Score</t>
  </si>
  <si>
    <t>Avg Rating Produk</t>
  </si>
  <si>
    <t>% Promoter</t>
  </si>
  <si>
    <t>Tanggal_Survei</t>
  </si>
  <si>
    <t>Bulan_Survei</t>
  </si>
  <si>
    <t>Monthly Satisfaction Trend</t>
  </si>
  <si>
    <t>2026-01</t>
  </si>
  <si>
    <t>2026-02</t>
  </si>
  <si>
    <t>2026-03</t>
  </si>
  <si>
    <t>2026-04</t>
  </si>
  <si>
    <t>2026-05</t>
  </si>
  <si>
    <t>2026-06</t>
  </si>
  <si>
    <t>Sparkline</t>
  </si>
  <si>
    <t>Avg Rating Pelayanan</t>
  </si>
  <si>
    <t>Avg Rating Harga</t>
  </si>
  <si>
    <t>Avg Rating Pengiriman</t>
  </si>
  <si>
    <t>Dki Jakarta</t>
  </si>
  <si>
    <t>Parameter</t>
  </si>
  <si>
    <t>Value</t>
  </si>
  <si>
    <t>Promoter_Min</t>
  </si>
  <si>
    <t>Passive_Min</t>
  </si>
  <si>
    <t>Target_NPS</t>
  </si>
  <si>
    <t>Target_Rating</t>
  </si>
  <si>
    <t>Target_Response</t>
  </si>
  <si>
    <t>Komentar_Clean</t>
  </si>
  <si>
    <t>Panjang_Komentar</t>
  </si>
  <si>
    <t>Keyword_Keluhan</t>
  </si>
  <si>
    <t>Sentimen_Sederhana</t>
  </si>
  <si>
    <t>Jumlah Promoter</t>
  </si>
  <si>
    <t>Jumlah Passive</t>
  </si>
  <si>
    <t>Jumlah Detractor</t>
  </si>
  <si>
    <t>% Passive</t>
  </si>
  <si>
    <t>% Detractor</t>
  </si>
  <si>
    <t>Avg Total Belanja</t>
  </si>
  <si>
    <t>Avg Produk</t>
  </si>
  <si>
    <t>Avg Pelayanan</t>
  </si>
  <si>
    <t>Avg Harga</t>
  </si>
  <si>
    <t>Avg Pengiriman</t>
  </si>
  <si>
    <t>Total Belanja</t>
  </si>
  <si>
    <t>NPS Kota</t>
  </si>
  <si>
    <t>Sparkline Rating</t>
  </si>
  <si>
    <t>Kelompok Usia</t>
  </si>
  <si>
    <t>NPS Usia</t>
  </si>
  <si>
    <t>Bulan</t>
  </si>
  <si>
    <t>NPS Bulanan</t>
  </si>
  <si>
    <t>Rata Rata Rating Produk Tiap Bulan di tiap Kota</t>
  </si>
  <si>
    <t>LAPORAN ANALISIS SURVEI KEPUASAN PELANGGAN</t>
  </si>
  <si>
    <t>Ringkasan NPS, rating kepuasan, segmentasi pelanggan, dan tren bulanan</t>
  </si>
  <si>
    <t>BUSINESS INSIGHT</t>
  </si>
  <si>
    <t>REKOMENDASI</t>
  </si>
  <si>
    <t>Melakukan evaluasi terhadap aspek yang paling banyak dikeluhkan pelanggan, seperti harga, pengiriman, pelayanan, atau kualitas produk.</t>
  </si>
  <si>
    <t>Memprioritaskan perbaikan pada kota atau kelompok usia dengan NPS paling rendah.</t>
  </si>
  <si>
    <t>Meningkatkan kualitas layanan pelanggan agar jumlah Detractor dapat dikurangi pada periode survei berikutnya.</t>
  </si>
  <si>
    <t>Melakukan survei lanjutan secara berkala untuk memantau perubahan kepuasan pelanggan dari bulan ke bulan.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</si>
</sst>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0F766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Continuous"/>
    </xf>
    <xf numFmtId="0" fontId="0" fillId="6" borderId="0" xfId="0" applyFill="1"/>
    <xf numFmtId="0" fontId="5" fillId="4" borderId="0" xfId="0" applyFont="1" applyFill="1" applyAlignment="1">
      <alignment horizontal="center" vertical="center"/>
    </xf>
    <xf numFmtId="0" fontId="0" fillId="0" borderId="0" xfId="0"/>
    <xf numFmtId="0" fontId="6" fillId="5" borderId="0" xfId="0" applyFont="1" applyFill="1" applyAlignment="1">
      <alignment horizontal="center"/>
    </xf>
    <xf numFmtId="0" fontId="8" fillId="3" borderId="1" xfId="1" applyFont="1" applyAlignment="1">
      <alignment horizontal="left" vertical="center"/>
    </xf>
    <xf numFmtId="0" fontId="2" fillId="6" borderId="1" xfId="1" applyFill="1" applyAlignment="1">
      <alignment horizontal="left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24">
    <dxf>
      <font>
        <color rgb="FFFF0000"/>
      </font>
    </dxf>
    <dxf>
      <font>
        <color rgb="FFFFC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375623"/>
        </patternFill>
      </fill>
      <alignment horizontal="center" vertical="bottom" textRotation="0" wrapText="0" indent="0" justifyLastLine="0" shrinkToFit="0" readingOrder="0"/>
    </dxf>
  </dxfs>
  <tableStyles count="1" defaultTableStyle="TableStyleMedium9" defaultPivotStyle="PivotStyleLight16">
    <tableStyle name="Table Style 1" pivot="0" count="0" xr9:uid="{720927DB-35CD-4BCD-AA5D-C187696D28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Responden Tiap Bulan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 Responden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Trend'!$A$4:$A$9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'Monthly Trend'!$B$4:$B$9</c:f>
              <c:numCache>
                <c:formatCode>General</c:formatCode>
                <c:ptCount val="6"/>
                <c:pt idx="0">
                  <c:v>38</c:v>
                </c:pt>
                <c:pt idx="1">
                  <c:v>32</c:v>
                </c:pt>
                <c:pt idx="2">
                  <c:v>33</c:v>
                </c:pt>
                <c:pt idx="3">
                  <c:v>30</c:v>
                </c:pt>
                <c:pt idx="4">
                  <c:v>31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7-4EA0-BFA4-D4E49A1CA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464879"/>
        <c:axId val="1215477359"/>
      </c:barChart>
      <c:catAx>
        <c:axId val="12154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15477359"/>
        <c:crosses val="autoZero"/>
        <c:auto val="1"/>
        <c:lblAlgn val="ctr"/>
        <c:lblOffset val="100"/>
        <c:noMultiLvlLbl val="0"/>
      </c:catAx>
      <c:valAx>
        <c:axId val="12154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1546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</a:t>
            </a:r>
            <a:r>
              <a:rPr lang="id-ID"/>
              <a:t>NPS Bulanan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Trend'!$I$3</c:f>
              <c:strCache>
                <c:ptCount val="1"/>
                <c:pt idx="0">
                  <c:v>NPS Bulanan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Trend'!$A$4:$A$9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'Monthly Trend'!$I$4:$I$9</c:f>
              <c:numCache>
                <c:formatCode>General</c:formatCode>
                <c:ptCount val="6"/>
                <c:pt idx="0">
                  <c:v>-50</c:v>
                </c:pt>
                <c:pt idx="1">
                  <c:v>-40.625</c:v>
                </c:pt>
                <c:pt idx="2">
                  <c:v>-48.484848484848484</c:v>
                </c:pt>
                <c:pt idx="3">
                  <c:v>-70</c:v>
                </c:pt>
                <c:pt idx="4">
                  <c:v>-29.032258064516132</c:v>
                </c:pt>
                <c:pt idx="5">
                  <c:v>-58.333333333333336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D-4710-A530-09973F96B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466799"/>
        <c:axId val="1215461519"/>
      </c:lineChart>
      <c:catAx>
        <c:axId val="121546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15461519"/>
        <c:crosses val="autoZero"/>
        <c:auto val="1"/>
        <c:lblAlgn val="ctr"/>
        <c:lblOffset val="100"/>
        <c:noMultiLvlLbl val="0"/>
      </c:catAx>
      <c:valAx>
        <c:axId val="121546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1546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Rating Kepuasan Bulanan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Trend'!$C$3</c:f>
              <c:strCache>
                <c:ptCount val="1"/>
                <c:pt idx="0">
                  <c:v>Avg Produk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Trend'!$A$4:$A$9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'Monthly Trend'!$C$4:$C$9</c:f>
              <c:numCache>
                <c:formatCode>General</c:formatCode>
                <c:ptCount val="6"/>
                <c:pt idx="0">
                  <c:v>3.1315789473684212</c:v>
                </c:pt>
                <c:pt idx="1">
                  <c:v>3.28125</c:v>
                </c:pt>
                <c:pt idx="2">
                  <c:v>3.0909090909090908</c:v>
                </c:pt>
                <c:pt idx="3">
                  <c:v>3.1666666666666665</c:v>
                </c:pt>
                <c:pt idx="4">
                  <c:v>2.870967741935484</c:v>
                </c:pt>
                <c:pt idx="5">
                  <c:v>3.3611111111111112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6-4C17-A5E3-421FF1003797}"/>
            </c:ext>
          </c:extLst>
        </c:ser>
        <c:ser>
          <c:idx val="1"/>
          <c:order val="1"/>
          <c:tx>
            <c:strRef>
              <c:f>'Monthly Trend'!$D$3</c:f>
              <c:strCache>
                <c:ptCount val="1"/>
                <c:pt idx="0">
                  <c:v>Avg Pelayanan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Trend'!$A$4:$A$9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'Monthly Trend'!$D$4:$D$9</c:f>
              <c:numCache>
                <c:formatCode>General</c:formatCode>
                <c:ptCount val="6"/>
                <c:pt idx="0">
                  <c:v>2.9210526315789473</c:v>
                </c:pt>
                <c:pt idx="1">
                  <c:v>3.09375</c:v>
                </c:pt>
                <c:pt idx="2">
                  <c:v>2.9696969696969697</c:v>
                </c:pt>
                <c:pt idx="3">
                  <c:v>2.9666666666666668</c:v>
                </c:pt>
                <c:pt idx="4">
                  <c:v>3</c:v>
                </c:pt>
                <c:pt idx="5">
                  <c:v>2.7222222222222223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6-4C17-A5E3-421FF1003797}"/>
            </c:ext>
          </c:extLst>
        </c:ser>
        <c:ser>
          <c:idx val="2"/>
          <c:order val="2"/>
          <c:tx>
            <c:strRef>
              <c:f>'Monthly Trend'!$E$3</c:f>
              <c:strCache>
                <c:ptCount val="1"/>
                <c:pt idx="0">
                  <c:v>Avg Harga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'Monthly Trend'!$A$4:$A$9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'Monthly Trend'!$E$4:$E$9</c:f>
              <c:numCache>
                <c:formatCode>General</c:formatCode>
                <c:ptCount val="6"/>
                <c:pt idx="0">
                  <c:v>3.2894736842105261</c:v>
                </c:pt>
                <c:pt idx="1">
                  <c:v>3.25</c:v>
                </c:pt>
                <c:pt idx="2">
                  <c:v>2.6969696969696968</c:v>
                </c:pt>
                <c:pt idx="3">
                  <c:v>2.7666666666666666</c:v>
                </c:pt>
                <c:pt idx="4">
                  <c:v>3.129032258064516</c:v>
                </c:pt>
                <c:pt idx="5">
                  <c:v>2.8333333333333335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06-4C17-A5E3-421FF1003797}"/>
            </c:ext>
          </c:extLst>
        </c:ser>
        <c:ser>
          <c:idx val="3"/>
          <c:order val="3"/>
          <c:tx>
            <c:strRef>
              <c:f>'Monthly Trend'!$F$3</c:f>
              <c:strCache>
                <c:ptCount val="1"/>
                <c:pt idx="0">
                  <c:v>Avg Pengiriman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'Monthly Trend'!$A$4:$A$9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'Monthly Trend'!$F$4:$F$9</c:f>
              <c:numCache>
                <c:formatCode>General</c:formatCode>
                <c:ptCount val="6"/>
                <c:pt idx="0">
                  <c:v>3.1842105263157894</c:v>
                </c:pt>
                <c:pt idx="1">
                  <c:v>3.21875</c:v>
                </c:pt>
                <c:pt idx="2">
                  <c:v>2.6969696969696968</c:v>
                </c:pt>
                <c:pt idx="3">
                  <c:v>2.9</c:v>
                </c:pt>
                <c:pt idx="4">
                  <c:v>3.032258064516129</c:v>
                </c:pt>
                <c:pt idx="5">
                  <c:v>3.3611111111111112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06-4C17-A5E3-421FF100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76207"/>
        <c:axId val="1914163407"/>
      </c:lineChart>
      <c:catAx>
        <c:axId val="11287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14163407"/>
        <c:crosses val="autoZero"/>
        <c:auto val="1"/>
        <c:lblAlgn val="ctr"/>
        <c:lblOffset val="100"/>
        <c:noMultiLvlLbl val="0"/>
      </c:catAx>
      <c:valAx>
        <c:axId val="191416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87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9645</xdr:rowOff>
    </xdr:from>
    <xdr:to>
      <xdr:col>5</xdr:col>
      <xdr:colOff>672060</xdr:colOff>
      <xdr:row>64</xdr:row>
      <xdr:rowOff>54206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A32ECC5-30F7-4FED-BBC2-6B66E44DC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175634</xdr:rowOff>
    </xdr:from>
    <xdr:to>
      <xdr:col>6</xdr:col>
      <xdr:colOff>61142</xdr:colOff>
      <xdr:row>21</xdr:row>
      <xdr:rowOff>144162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AEEEAF-D9D4-48C0-A7D8-0D89D8260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308917</xdr:colOff>
      <xdr:row>8</xdr:row>
      <xdr:rowOff>0</xdr:rowOff>
    </xdr:from>
    <xdr:to>
      <xdr:col>12</xdr:col>
      <xdr:colOff>1285</xdr:colOff>
      <xdr:row>22</xdr:row>
      <xdr:rowOff>10296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4481AE-7E76-4B67-B79A-D0F0F63C6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71B34A-1D49-47A0-BE12-EEDBF7A0DC82}" autoFormatId="16" applyNumberFormats="0" applyBorderFormats="0" applyFontFormats="0" applyPatternFormats="0" applyAlignmentFormats="0" applyWidthHeightFormats="0">
  <queryTableRefresh nextId="25">
    <queryTableFields count="24">
      <queryTableField id="1" name="Respondent_ID" tableColumnId="1"/>
      <queryTableField id="2" name="Nama" tableColumnId="2"/>
      <queryTableField id="3" name="Usia" tableColumnId="3"/>
      <queryTableField id="4" name="Kelompok_Usia" tableColumnId="4"/>
      <queryTableField id="5" name="Kota" tableColumnId="5"/>
      <queryTableField id="6" name="Provinsi" tableColumnId="6"/>
      <queryTableField id="7" name="Gender" tableColumnId="7"/>
      <queryTableField id="8" name="Lama_Jadi_Pelanggan_Bln" tableColumnId="8"/>
      <queryTableField id="9" name="Rating_Produk" tableColumnId="9"/>
      <queryTableField id="10" name="Rating_Pelayanan" tableColumnId="10"/>
      <queryTableField id="11" name="Rating_Harga" tableColumnId="11"/>
      <queryTableField id="12" name="Rating_Pengiriman" tableColumnId="12"/>
      <queryTableField id="13" name="NPS_Score" tableColumnId="13"/>
      <queryTableField id="14" name="Kategori_NPS" tableColumnId="14"/>
      <queryTableField id="15" name="Sumber_Tahu" tableColumnId="15"/>
      <queryTableField id="16" name="Frekuensi_Beli" tableColumnId="16"/>
      <queryTableField id="17" name="Total_Belanja_Setahun" tableColumnId="17"/>
      <queryTableField id="18" name="Komentar" tableColumnId="18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19" name="Tanggal_Survei" tableColumnId="19"/>
      <queryTableField id="20" name="Bulan_Survei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97161-2D00-46AB-8914-98B5BCE13CCF}" name="tbl_survey_raw" displayName="tbl_survey_raw" ref="A1:T201" totalsRowShown="0" headerRowDxfId="23">
  <autoFilter ref="A1:T201" xr:uid="{62897161-2D00-46AB-8914-98B5BCE13CCF}"/>
  <tableColumns count="20">
    <tableColumn id="1" xr3:uid="{ED5E1D7C-9054-4FB5-852A-747C65360C73}" name="Respondent_ID"/>
    <tableColumn id="2" xr3:uid="{D2E3634F-8236-40FB-841A-F232219419F5}" name="Nama"/>
    <tableColumn id="3" xr3:uid="{4FB4FF89-04C6-4840-A172-14DB73A74475}" name="Usia"/>
    <tableColumn id="4" xr3:uid="{F2859BC1-149D-4E34-86C7-B3104F69B0B5}" name="Kelompok_Usia"/>
    <tableColumn id="5" xr3:uid="{31E7E214-534A-4D46-9177-B43F8E2AB686}" name="Kota"/>
    <tableColumn id="6" xr3:uid="{F8D30B3C-E08A-4B3F-A354-51FD84F02B0B}" name="Provinsi"/>
    <tableColumn id="7" xr3:uid="{403A3865-C93B-432C-A1B2-1D9C576F4331}" name="Gender"/>
    <tableColumn id="8" xr3:uid="{7BDF1899-C5C0-4146-B16F-D509522157FD}" name="Lama_Jadi_Pelanggan_Bln"/>
    <tableColumn id="9" xr3:uid="{F9ACDE82-DA17-46CF-B5E6-EAFEE233E7EA}" name="Rating_Produk"/>
    <tableColumn id="10" xr3:uid="{15605D19-C279-4218-9597-900709A926FF}" name="Rating_Pelayanan"/>
    <tableColumn id="11" xr3:uid="{B669D94C-B9CA-43EE-B1C3-1C872D2FF6C3}" name="Rating_Harga"/>
    <tableColumn id="12" xr3:uid="{FF62B643-B103-4070-8CD0-E13FADDD1B5A}" name="Rating_Pengiriman"/>
    <tableColumn id="13" xr3:uid="{341F049C-FABC-44A8-A0BF-03AFE382E4C1}" name="NPS_Score"/>
    <tableColumn id="14" xr3:uid="{E0ED7C35-0F8E-49D8-8DC3-B3A6D202935F}" name="Kategori_NPS"/>
    <tableColumn id="15" xr3:uid="{1A535BD5-81E4-4B77-9DF5-57883EC57C9D}" name="Sumber_Tahu"/>
    <tableColumn id="16" xr3:uid="{E378FA38-04AC-4461-A75A-2AAB92D91127}" name="Frekuensi_Beli"/>
    <tableColumn id="17" xr3:uid="{54480878-B083-4959-AE08-E3CC0CACA32D}" name="Total_Belanja_Setahun"/>
    <tableColumn id="18" xr3:uid="{B74AAB03-7672-4E14-9EF0-E128D165DF10}" name="Komentar"/>
    <tableColumn id="19" xr3:uid="{56565237-5FB7-41E8-AD39-688B0545FC40}" name="Tanggal_Survei" dataDxfId="22"/>
    <tableColumn id="20" xr3:uid="{E3012A7E-167F-4DC8-BAF2-3FF8145F4710}" name="Bulan_Survei" dataDxfId="21">
      <calculatedColumnFormula>TEXT(S2,"yyyy-mm")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B663F6-0E8C-467F-B077-55805EC0674F}" name="tbl_survey_clean" displayName="tbl_survey_clean" ref="A1:X201" tableType="queryTable" totalsRowShown="0">
  <autoFilter ref="A1:X201" xr:uid="{23B663F6-0E8C-467F-B077-55805EC0674F}">
    <filterColumn colId="23">
      <filters>
        <filter val="2026-02"/>
      </filters>
    </filterColumn>
  </autoFilter>
  <tableColumns count="24">
    <tableColumn id="1" xr3:uid="{DC7E1610-6F3D-48EA-B12B-47E3D6AF90C5}" uniqueName="1" name="Respondent_ID" queryTableFieldId="1" dataDxfId="20"/>
    <tableColumn id="2" xr3:uid="{38E887A9-C751-42DF-A361-97EB4138063C}" uniqueName="2" name="Nama" queryTableFieldId="2" dataDxfId="19"/>
    <tableColumn id="3" xr3:uid="{0A037AE9-D2F6-476F-B347-A9D269DE60DA}" uniqueName="3" name="Usia" queryTableFieldId="3"/>
    <tableColumn id="4" xr3:uid="{A68AFFB6-EF63-487A-9A08-CFAA3E247D47}" uniqueName="4" name="Kelompok_Usia" queryTableFieldId="4" dataDxfId="18"/>
    <tableColumn id="5" xr3:uid="{0D997D4B-FAE2-468F-9FE6-16F551ABB4AD}" uniqueName="5" name="Kota" queryTableFieldId="5" dataDxfId="17"/>
    <tableColumn id="6" xr3:uid="{DD8E6549-F920-46A1-A29A-AAFA7B71B3F6}" uniqueName="6" name="Provinsi" queryTableFieldId="6" dataDxfId="16"/>
    <tableColumn id="7" xr3:uid="{B7DD26EE-F134-48E5-B522-829B83D642BB}" uniqueName="7" name="Gender" queryTableFieldId="7" dataDxfId="15"/>
    <tableColumn id="8" xr3:uid="{FA5BB9E8-F63A-4332-95DA-5E7A251AD903}" uniqueName="8" name="Lama_Jadi_Pelanggan_Bln" queryTableFieldId="8"/>
    <tableColumn id="9" xr3:uid="{5B637876-9CEA-41B0-82DF-D619CF7A0AC2}" uniqueName="9" name="Rating_Produk" queryTableFieldId="9"/>
    <tableColumn id="10" xr3:uid="{641E6657-688B-488B-97A1-895EE973EE9D}" uniqueName="10" name="Rating_Pelayanan" queryTableFieldId="10"/>
    <tableColumn id="11" xr3:uid="{295E6FBD-4D8F-42A9-B75A-E8FB74BF4561}" uniqueName="11" name="Rating_Harga" queryTableFieldId="11"/>
    <tableColumn id="12" xr3:uid="{8287E16C-571F-485C-8651-F96EFA984A1E}" uniqueName="12" name="Rating_Pengiriman" queryTableFieldId="12"/>
    <tableColumn id="13" xr3:uid="{78384B14-3E17-48D1-B48E-941772A26532}" uniqueName="13" name="NPS_Score" queryTableFieldId="13"/>
    <tableColumn id="14" xr3:uid="{00E74D32-ED8F-4004-B4AE-177208D5E6B5}" uniqueName="14" name="Kategori_NPS" queryTableFieldId="14" dataDxfId="14"/>
    <tableColumn id="15" xr3:uid="{08A461AC-311E-4E15-93D3-1CE709F16755}" uniqueName="15" name="Sumber_Tahu" queryTableFieldId="15" dataDxfId="13"/>
    <tableColumn id="16" xr3:uid="{1CE8B5FF-80B4-41CA-B854-694049A35110}" uniqueName="16" name="Frekuensi_Beli" queryTableFieldId="16" dataDxfId="12"/>
    <tableColumn id="17" xr3:uid="{6D18D19C-2BDB-43BD-91B0-CE4B69485A63}" uniqueName="17" name="Total_Belanja_Setahun" queryTableFieldId="17"/>
    <tableColumn id="18" xr3:uid="{4B802AEE-4B6E-40CA-BE8B-06DB76CD604E}" uniqueName="18" name="Komentar" queryTableFieldId="18" dataDxfId="11"/>
    <tableColumn id="21" xr3:uid="{2ECBC2B4-2D60-4E43-93C1-4DDFC7A574BB}" uniqueName="21" name="Komentar_Clean" queryTableFieldId="21" dataDxfId="10">
      <calculatedColumnFormula>LOWER(TRIM(CLEAN(tbl_survey_clean[[#This Row],[Komentar]])))</calculatedColumnFormula>
    </tableColumn>
    <tableColumn id="22" xr3:uid="{8C3446A5-FC4B-4F5E-90CE-2DB838EFB346}" uniqueName="22" name="Panjang_Komentar" queryTableFieldId="22" dataDxfId="9">
      <calculatedColumnFormula>LEN(tbl_survey_clean[[#This Row],[Komentar_Clean]])</calculatedColumnFormula>
    </tableColumn>
    <tableColumn id="23" xr3:uid="{0EB88824-0F76-49ED-BE0C-E9BFCBC56392}" uniqueName="23" name="Keyword_Keluhan" queryTableFieldId="23" dataDxfId="8">
      <calculatedColumnFormula>IF(ISNUMBER(SEARCH("harga",S2)),"Harga",IF(ISNUMBER(SEARCH("pengiriman",S2)),"Pengiriman",IF(ISNUMBER(SEARCH("pelayanan",S2)),"Pelayanan",IF(ISNUMBER(SEARCH("produk",S2)),"Produk","Lainnya"))))</calculatedColumnFormula>
    </tableColumn>
    <tableColumn id="24" xr3:uid="{F40E6FB0-06C6-4AFF-8EE5-9A1DFC1E6EC8}" uniqueName="24" name="Sentimen_Sederhana" queryTableFieldId="24" dataDxfId="7">
      <calculatedColumnFormula>IF(OR(ISNUMBER(SEARCH("puas",S2)),ISNUMBER(SEARCH("bagus",S2)),ISNUMBER(SEARCH("cepat",S2)),ISNUMBER(SEARCH("aman",S2))),"Positif",IF(OR(ISNUMBER(SEARCH("mahal",S2)),ISNUMBER(SEARCH("lama",S2)),ISNUMBER(SEARCH("buruk",S2)),ISNUMBER(SEARCH("susah",S2)),ISNUMBER(SEARCH("ribet",S2)),ISNUMBER(SEARCH("perbaikan",S2))),"Negatif","Netral"))</calculatedColumnFormula>
    </tableColumn>
    <tableColumn id="19" xr3:uid="{B8FE1BC7-010D-4B5B-A1A0-3D3C5560BD4D}" uniqueName="19" name="Tanggal_Survei" queryTableFieldId="19" dataDxfId="6"/>
    <tableColumn id="20" xr3:uid="{109370A7-B429-42A1-9440-2654C7354CF8}" uniqueName="20" name="Bulan_Survei" queryTableFieldId="20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54AFDE-AF3B-48C4-864B-2022D7F79A1D}" name="Table11" displayName="Table11" ref="A1:B6" totalsRowShown="0">
  <autoFilter ref="A1:B6" xr:uid="{0154AFDE-AF3B-48C4-864B-2022D7F79A1D}"/>
  <tableColumns count="2">
    <tableColumn id="1" xr3:uid="{12EA0E6E-0FCA-43C7-B518-EC33C34A0055}" name="Parameter"/>
    <tableColumn id="2" xr3:uid="{E334E1FE-C958-40AA-B76C-C155A2399B79}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BF57E6-5C59-43A0-AC97-CFD4A620ADB2}" name="nps_summary" displayName="nps_summary" ref="A1:B14" totalsRowShown="0">
  <autoFilter ref="A1:B14" xr:uid="{EBBF57E6-5C59-43A0-AC97-CFD4A620ADB2}"/>
  <tableColumns count="2">
    <tableColumn id="1" xr3:uid="{381F718C-E078-4623-9154-38B91E23015B}" name="Metric" dataDxfId="4"/>
    <tableColumn id="2" xr3:uid="{7EC9DA94-DF3A-4AB2-A027-9AE6ADCF913E}" name="Value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B7E65E-C71F-40C3-93BC-51D7E592AB42}" name="Table10" displayName="Table10" ref="A1:J6" totalsRowShown="0" headerRowDxfId="2">
  <autoFilter ref="A1:J6" xr:uid="{72B7E65E-C71F-40C3-93BC-51D7E592AB42}"/>
  <tableColumns count="10">
    <tableColumn id="1" xr3:uid="{CD101D55-E726-48CF-8534-8A695B597278}" name="Kelompok Usia"/>
    <tableColumn id="2" xr3:uid="{9B8F2230-4C00-4C7E-A5B0-528162C59258}" name="Total Responden">
      <calculatedColumnFormula>COUNTIF(tbl_survey_clean[Kelompok_Usia],A2)</calculatedColumnFormula>
    </tableColumn>
    <tableColumn id="3" xr3:uid="{281D0CAB-E3E9-411D-9DCC-EE2FBD99013F}" name="Avg Produk">
      <calculatedColumnFormula>AVERAGEIF(tbl_survey_clean[Kelompok_Usia],A2,tbl_survey_clean[Rating_Produk])</calculatedColumnFormula>
    </tableColumn>
    <tableColumn id="4" xr3:uid="{E53FA646-C285-4D9C-A8F4-C1991FC2D546}" name="Avg Pelayanan">
      <calculatedColumnFormula>AVERAGEIF(tbl_survey_clean[Kelompok_Usia],A2,tbl_survey_clean[Rating_Pelayanan])</calculatedColumnFormula>
    </tableColumn>
    <tableColumn id="5" xr3:uid="{3BEA2828-6244-4BA5-8355-6D1FE9BCAA4F}" name="Avg Harga">
      <calculatedColumnFormula>AVERAGEIF(tbl_survey_clean[Kelompok_Usia],A2, tbl_survey_clean[Rating_Harga])</calculatedColumnFormula>
    </tableColumn>
    <tableColumn id="6" xr3:uid="{F9EC3E15-D874-48A7-9E6F-A49D2D27B0A2}" name="Avg Pengiriman">
      <calculatedColumnFormula>AVERAGEIF(tbl_survey_clean[Kelompok_Usia],A2,tbl_survey_clean[Rating_Pengiriman])</calculatedColumnFormula>
    </tableColumn>
    <tableColumn id="7" xr3:uid="{F6138506-A7A6-491C-9B57-6116A1096980}" name="Total Belanja">
      <calculatedColumnFormula>SUMIF(tbl_survey_clean[Kelompok_Usia],A2,tbl_survey_clean[Total_Belanja_Setahun])</calculatedColumnFormula>
    </tableColumn>
    <tableColumn id="8" xr3:uid="{6FCF13BE-F6AB-408F-B35B-A07FDC4286FD}" name="Promoter">
      <calculatedColumnFormula>COUNTIFS(tbl_survey_clean[Kelompok_Usia],A2, tbl_survey_clean[Kategori_NPS],"Promoter")</calculatedColumnFormula>
    </tableColumn>
    <tableColumn id="9" xr3:uid="{B6B52E53-B2C4-4474-AB08-ED5FDC04950E}" name="Detractor">
      <calculatedColumnFormula>COUNTIFS(tbl_survey_clean[Kelompok_Usia],A2,tbl_survey_clean[Kategori_NPS],"Detractor")</calculatedColumnFormula>
    </tableColumn>
    <tableColumn id="10" xr3:uid="{4E532472-7328-446E-B4AD-02CE5CA333F4}" name="NPS Usia">
      <calculatedColumnFormula>IFERROR(((H2-I2)/B2)*100,0)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opLeftCell="J1" workbookViewId="0">
      <selection activeCell="K16" sqref="K16"/>
    </sheetView>
  </sheetViews>
  <sheetFormatPr defaultRowHeight="14.4" x14ac:dyDescent="0.3"/>
  <cols>
    <col min="1" max="1" width="16.21875" customWidth="1"/>
    <col min="2" max="2" width="20" customWidth="1"/>
    <col min="3" max="3" width="6.6640625" customWidth="1"/>
    <col min="4" max="4" width="16.33203125" customWidth="1"/>
    <col min="5" max="6" width="18" customWidth="1"/>
    <col min="7" max="7" width="12" customWidth="1"/>
    <col min="8" max="8" width="26.109375" customWidth="1"/>
    <col min="9" max="9" width="15.88671875" customWidth="1"/>
    <col min="10" max="10" width="18.44140625" customWidth="1"/>
    <col min="11" max="11" width="14.77734375" customWidth="1"/>
    <col min="12" max="12" width="19.33203125" customWidth="1"/>
    <col min="13" max="13" width="12.77734375" customWidth="1"/>
    <col min="14" max="14" width="15.109375" customWidth="1"/>
    <col min="15" max="15" width="20" customWidth="1"/>
    <col min="16" max="16" width="22" customWidth="1"/>
    <col min="17" max="17" width="22.77734375" customWidth="1"/>
    <col min="18" max="18" width="40" customWidth="1"/>
    <col min="19" max="19" width="15.6640625" customWidth="1"/>
    <col min="20" max="20" width="17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360</v>
      </c>
      <c r="T1" s="3" t="s">
        <v>361</v>
      </c>
    </row>
    <row r="2" spans="1:20" x14ac:dyDescent="0.3">
      <c r="A2" t="s">
        <v>18</v>
      </c>
      <c r="B2" t="s">
        <v>19</v>
      </c>
      <c r="C2">
        <v>36</v>
      </c>
      <c r="D2" t="s">
        <v>20</v>
      </c>
      <c r="E2" t="s">
        <v>21</v>
      </c>
      <c r="F2" t="s">
        <v>22</v>
      </c>
      <c r="G2" t="s">
        <v>23</v>
      </c>
      <c r="H2">
        <v>35</v>
      </c>
      <c r="I2">
        <v>3</v>
      </c>
      <c r="J2">
        <v>4</v>
      </c>
      <c r="K2">
        <v>3</v>
      </c>
      <c r="L2">
        <v>4</v>
      </c>
      <c r="M2">
        <v>7</v>
      </c>
      <c r="N2" t="s">
        <v>24</v>
      </c>
      <c r="O2" t="s">
        <v>25</v>
      </c>
      <c r="P2" t="s">
        <v>26</v>
      </c>
      <c r="Q2">
        <v>50000</v>
      </c>
      <c r="R2" t="s">
        <v>27</v>
      </c>
      <c r="S2" s="4">
        <v>46186</v>
      </c>
      <c r="T2" s="5" t="str">
        <f t="shared" ref="T2:T65" si="0">TEXT(S2,"yyyy-mm")</f>
        <v>2026-06</v>
      </c>
    </row>
    <row r="3" spans="1:20" x14ac:dyDescent="0.3">
      <c r="A3" t="s">
        <v>28</v>
      </c>
      <c r="B3" t="s">
        <v>29</v>
      </c>
      <c r="C3">
        <v>49</v>
      </c>
      <c r="D3" t="s">
        <v>30</v>
      </c>
      <c r="E3" t="s">
        <v>31</v>
      </c>
      <c r="F3" t="s">
        <v>32</v>
      </c>
      <c r="G3" t="s">
        <v>23</v>
      </c>
      <c r="H3">
        <v>17</v>
      </c>
      <c r="I3">
        <v>5</v>
      </c>
      <c r="J3">
        <v>1</v>
      </c>
      <c r="K3">
        <v>4</v>
      </c>
      <c r="L3">
        <v>2</v>
      </c>
      <c r="M3">
        <v>3</v>
      </c>
      <c r="N3" t="s">
        <v>33</v>
      </c>
      <c r="O3" t="s">
        <v>34</v>
      </c>
      <c r="P3" t="s">
        <v>35</v>
      </c>
      <c r="Q3">
        <v>5000000</v>
      </c>
      <c r="R3" t="s">
        <v>36</v>
      </c>
      <c r="S3" s="4">
        <v>46051</v>
      </c>
      <c r="T3" s="5" t="str">
        <f t="shared" si="0"/>
        <v>2026-01</v>
      </c>
    </row>
    <row r="4" spans="1:20" x14ac:dyDescent="0.3">
      <c r="A4" t="s">
        <v>37</v>
      </c>
      <c r="B4" t="s">
        <v>38</v>
      </c>
      <c r="C4">
        <v>38</v>
      </c>
      <c r="D4" t="s">
        <v>20</v>
      </c>
      <c r="E4" t="s">
        <v>39</v>
      </c>
      <c r="F4" t="s">
        <v>40</v>
      </c>
      <c r="G4" t="s">
        <v>41</v>
      </c>
      <c r="H4">
        <v>39</v>
      </c>
      <c r="I4">
        <v>3</v>
      </c>
      <c r="J4">
        <v>1</v>
      </c>
      <c r="K4">
        <v>1</v>
      </c>
      <c r="L4">
        <v>4</v>
      </c>
      <c r="M4">
        <v>10</v>
      </c>
      <c r="N4" t="s">
        <v>42</v>
      </c>
      <c r="O4" t="s">
        <v>43</v>
      </c>
      <c r="P4" t="s">
        <v>44</v>
      </c>
      <c r="Q4">
        <v>1000000</v>
      </c>
      <c r="R4" t="s">
        <v>45</v>
      </c>
      <c r="S4" s="4">
        <v>46029</v>
      </c>
      <c r="T4" s="5" t="str">
        <f t="shared" si="0"/>
        <v>2026-01</v>
      </c>
    </row>
    <row r="5" spans="1:20" x14ac:dyDescent="0.3">
      <c r="A5" t="s">
        <v>46</v>
      </c>
      <c r="B5" t="s">
        <v>47</v>
      </c>
      <c r="C5">
        <v>44</v>
      </c>
      <c r="D5" t="s">
        <v>20</v>
      </c>
      <c r="E5" t="s">
        <v>48</v>
      </c>
      <c r="F5" t="s">
        <v>49</v>
      </c>
      <c r="G5" t="s">
        <v>23</v>
      </c>
      <c r="H5">
        <v>12</v>
      </c>
      <c r="I5">
        <v>2</v>
      </c>
      <c r="J5">
        <v>2</v>
      </c>
      <c r="K5">
        <v>1</v>
      </c>
      <c r="L5">
        <v>2</v>
      </c>
      <c r="M5">
        <v>2</v>
      </c>
      <c r="N5" t="s">
        <v>33</v>
      </c>
      <c r="O5" t="s">
        <v>50</v>
      </c>
      <c r="P5" t="s">
        <v>51</v>
      </c>
      <c r="Q5">
        <v>5000000</v>
      </c>
      <c r="R5" t="s">
        <v>36</v>
      </c>
      <c r="S5" s="4">
        <v>46093</v>
      </c>
      <c r="T5" s="5" t="str">
        <f t="shared" si="0"/>
        <v>2026-03</v>
      </c>
    </row>
    <row r="6" spans="1:20" x14ac:dyDescent="0.3">
      <c r="A6" t="s">
        <v>52</v>
      </c>
      <c r="B6" t="s">
        <v>53</v>
      </c>
      <c r="C6">
        <v>25</v>
      </c>
      <c r="D6" t="s">
        <v>54</v>
      </c>
      <c r="E6" t="s">
        <v>55</v>
      </c>
      <c r="F6" t="s">
        <v>56</v>
      </c>
      <c r="G6" t="s">
        <v>41</v>
      </c>
      <c r="H6">
        <v>6</v>
      </c>
      <c r="I6">
        <v>3</v>
      </c>
      <c r="J6">
        <v>5</v>
      </c>
      <c r="K6">
        <v>1</v>
      </c>
      <c r="L6">
        <v>4</v>
      </c>
      <c r="M6">
        <v>0</v>
      </c>
      <c r="N6" t="s">
        <v>33</v>
      </c>
      <c r="O6" t="s">
        <v>43</v>
      </c>
      <c r="P6" t="s">
        <v>26</v>
      </c>
      <c r="Q6">
        <v>100000</v>
      </c>
      <c r="R6" t="s">
        <v>57</v>
      </c>
      <c r="S6" s="4">
        <v>46085</v>
      </c>
      <c r="T6" s="5" t="str">
        <f t="shared" si="0"/>
        <v>2026-03</v>
      </c>
    </row>
    <row r="7" spans="1:20" x14ac:dyDescent="0.3">
      <c r="A7" t="s">
        <v>58</v>
      </c>
      <c r="B7" t="s">
        <v>59</v>
      </c>
      <c r="C7">
        <v>51</v>
      </c>
      <c r="D7" t="s">
        <v>30</v>
      </c>
      <c r="E7" t="s">
        <v>60</v>
      </c>
      <c r="F7" t="s">
        <v>61</v>
      </c>
      <c r="G7" t="s">
        <v>23</v>
      </c>
      <c r="H7">
        <v>7</v>
      </c>
      <c r="I7">
        <v>5</v>
      </c>
      <c r="J7">
        <v>4</v>
      </c>
      <c r="K7">
        <v>1</v>
      </c>
      <c r="L7">
        <v>1</v>
      </c>
      <c r="M7">
        <v>8</v>
      </c>
      <c r="N7" t="s">
        <v>24</v>
      </c>
      <c r="O7" t="s">
        <v>50</v>
      </c>
      <c r="P7" t="s">
        <v>51</v>
      </c>
      <c r="Q7">
        <v>500000</v>
      </c>
      <c r="R7" t="s">
        <v>62</v>
      </c>
      <c r="S7" s="4">
        <v>46080</v>
      </c>
      <c r="T7" s="5" t="str">
        <f t="shared" si="0"/>
        <v>2026-02</v>
      </c>
    </row>
    <row r="8" spans="1:20" x14ac:dyDescent="0.3">
      <c r="A8" t="s">
        <v>63</v>
      </c>
      <c r="B8" t="s">
        <v>53</v>
      </c>
      <c r="C8">
        <v>29</v>
      </c>
      <c r="D8" t="s">
        <v>54</v>
      </c>
      <c r="E8" t="s">
        <v>64</v>
      </c>
      <c r="F8" t="s">
        <v>65</v>
      </c>
      <c r="G8" t="s">
        <v>23</v>
      </c>
      <c r="H8">
        <v>1</v>
      </c>
      <c r="I8">
        <v>1</v>
      </c>
      <c r="J8">
        <v>2</v>
      </c>
      <c r="K8">
        <v>5</v>
      </c>
      <c r="L8">
        <v>5</v>
      </c>
      <c r="M8">
        <v>5</v>
      </c>
      <c r="N8" t="s">
        <v>33</v>
      </c>
      <c r="O8" t="s">
        <v>34</v>
      </c>
      <c r="P8" t="s">
        <v>51</v>
      </c>
      <c r="Q8">
        <v>5000000</v>
      </c>
      <c r="R8" t="s">
        <v>66</v>
      </c>
      <c r="S8" s="4">
        <v>46058</v>
      </c>
      <c r="T8" s="5" t="str">
        <f t="shared" si="0"/>
        <v>2026-02</v>
      </c>
    </row>
    <row r="9" spans="1:20" x14ac:dyDescent="0.3">
      <c r="A9" t="s">
        <v>67</v>
      </c>
      <c r="B9" t="s">
        <v>68</v>
      </c>
      <c r="C9">
        <v>27</v>
      </c>
      <c r="D9" t="s">
        <v>54</v>
      </c>
      <c r="E9" t="s">
        <v>39</v>
      </c>
      <c r="F9" t="s">
        <v>40</v>
      </c>
      <c r="G9" t="s">
        <v>41</v>
      </c>
      <c r="H9">
        <v>14</v>
      </c>
      <c r="I9">
        <v>4</v>
      </c>
      <c r="J9">
        <v>1</v>
      </c>
      <c r="K9">
        <v>2</v>
      </c>
      <c r="L9">
        <v>1</v>
      </c>
      <c r="M9">
        <v>2</v>
      </c>
      <c r="N9" t="s">
        <v>33</v>
      </c>
      <c r="O9" t="s">
        <v>69</v>
      </c>
      <c r="P9" t="s">
        <v>51</v>
      </c>
      <c r="Q9">
        <v>1000000</v>
      </c>
      <c r="R9" t="s">
        <v>57</v>
      </c>
      <c r="S9" s="4">
        <v>46049</v>
      </c>
      <c r="T9" s="5" t="str">
        <f t="shared" si="0"/>
        <v>2026-01</v>
      </c>
    </row>
    <row r="10" spans="1:20" x14ac:dyDescent="0.3">
      <c r="A10" t="s">
        <v>70</v>
      </c>
      <c r="B10" t="s">
        <v>71</v>
      </c>
      <c r="C10">
        <v>44</v>
      </c>
      <c r="D10" t="s">
        <v>20</v>
      </c>
      <c r="E10" t="s">
        <v>72</v>
      </c>
      <c r="F10" t="s">
        <v>73</v>
      </c>
      <c r="G10" t="s">
        <v>41</v>
      </c>
      <c r="H10">
        <v>36</v>
      </c>
      <c r="I10">
        <v>3</v>
      </c>
      <c r="J10">
        <v>5</v>
      </c>
      <c r="K10">
        <v>4</v>
      </c>
      <c r="L10">
        <v>5</v>
      </c>
      <c r="M10">
        <v>0</v>
      </c>
      <c r="N10" t="s">
        <v>33</v>
      </c>
      <c r="O10" t="s">
        <v>25</v>
      </c>
      <c r="P10" t="s">
        <v>26</v>
      </c>
      <c r="Q10">
        <v>250000</v>
      </c>
      <c r="R10" t="s">
        <v>66</v>
      </c>
      <c r="S10" s="4">
        <v>46196</v>
      </c>
      <c r="T10" s="5" t="str">
        <f t="shared" si="0"/>
        <v>2026-06</v>
      </c>
    </row>
    <row r="11" spans="1:20" x14ac:dyDescent="0.3">
      <c r="A11" t="s">
        <v>74</v>
      </c>
      <c r="B11" t="s">
        <v>75</v>
      </c>
      <c r="C11">
        <v>36</v>
      </c>
      <c r="D11" t="s">
        <v>20</v>
      </c>
      <c r="E11" t="s">
        <v>64</v>
      </c>
      <c r="F11" t="s">
        <v>65</v>
      </c>
      <c r="G11" t="s">
        <v>23</v>
      </c>
      <c r="H11">
        <v>17</v>
      </c>
      <c r="I11">
        <v>2</v>
      </c>
      <c r="J11">
        <v>1</v>
      </c>
      <c r="K11">
        <v>5</v>
      </c>
      <c r="L11">
        <v>2</v>
      </c>
      <c r="M11">
        <v>8</v>
      </c>
      <c r="N11" t="s">
        <v>24</v>
      </c>
      <c r="O11" t="s">
        <v>43</v>
      </c>
      <c r="P11" t="s">
        <v>44</v>
      </c>
      <c r="Q11">
        <v>250000</v>
      </c>
      <c r="R11" t="s">
        <v>45</v>
      </c>
      <c r="S11" s="4">
        <v>46162</v>
      </c>
      <c r="T11" s="5" t="str">
        <f t="shared" si="0"/>
        <v>2026-05</v>
      </c>
    </row>
    <row r="12" spans="1:20" x14ac:dyDescent="0.3">
      <c r="A12" t="s">
        <v>76</v>
      </c>
      <c r="B12" t="s">
        <v>77</v>
      </c>
      <c r="C12">
        <v>33</v>
      </c>
      <c r="D12" t="s">
        <v>54</v>
      </c>
      <c r="E12" t="s">
        <v>78</v>
      </c>
      <c r="F12" t="s">
        <v>79</v>
      </c>
      <c r="G12" t="s">
        <v>41</v>
      </c>
      <c r="H12">
        <v>10</v>
      </c>
      <c r="I12">
        <v>3</v>
      </c>
      <c r="J12">
        <v>3</v>
      </c>
      <c r="K12">
        <v>3</v>
      </c>
      <c r="L12">
        <v>4</v>
      </c>
      <c r="M12">
        <v>5</v>
      </c>
      <c r="N12" t="s">
        <v>33</v>
      </c>
      <c r="O12" t="s">
        <v>43</v>
      </c>
      <c r="P12" t="s">
        <v>35</v>
      </c>
      <c r="Q12">
        <v>5000000</v>
      </c>
      <c r="R12" t="s">
        <v>80</v>
      </c>
      <c r="S12" s="4">
        <v>46045</v>
      </c>
      <c r="T12" s="5" t="str">
        <f t="shared" si="0"/>
        <v>2026-01</v>
      </c>
    </row>
    <row r="13" spans="1:20" x14ac:dyDescent="0.3">
      <c r="A13" t="s">
        <v>81</v>
      </c>
      <c r="B13" t="s">
        <v>82</v>
      </c>
      <c r="C13">
        <v>62</v>
      </c>
      <c r="D13" t="s">
        <v>83</v>
      </c>
      <c r="E13" t="s">
        <v>31</v>
      </c>
      <c r="F13" t="s">
        <v>32</v>
      </c>
      <c r="G13" t="s">
        <v>23</v>
      </c>
      <c r="H13">
        <v>29</v>
      </c>
      <c r="I13">
        <v>4</v>
      </c>
      <c r="J13">
        <v>3</v>
      </c>
      <c r="K13">
        <v>5</v>
      </c>
      <c r="L13">
        <v>5</v>
      </c>
      <c r="M13">
        <v>7</v>
      </c>
      <c r="N13" t="s">
        <v>24</v>
      </c>
      <c r="O13" t="s">
        <v>34</v>
      </c>
      <c r="P13" t="s">
        <v>35</v>
      </c>
      <c r="Q13">
        <v>500000</v>
      </c>
      <c r="R13" t="s">
        <v>84</v>
      </c>
      <c r="S13" s="4">
        <v>46174</v>
      </c>
      <c r="T13" s="5" t="str">
        <f t="shared" si="0"/>
        <v>2026-06</v>
      </c>
    </row>
    <row r="14" spans="1:20" x14ac:dyDescent="0.3">
      <c r="A14" t="s">
        <v>85</v>
      </c>
      <c r="B14" t="s">
        <v>86</v>
      </c>
      <c r="C14">
        <v>58</v>
      </c>
      <c r="D14" t="s">
        <v>83</v>
      </c>
      <c r="E14" t="s">
        <v>78</v>
      </c>
      <c r="F14" t="s">
        <v>79</v>
      </c>
      <c r="G14" t="s">
        <v>41</v>
      </c>
      <c r="H14">
        <v>35</v>
      </c>
      <c r="I14">
        <v>2</v>
      </c>
      <c r="J14">
        <v>4</v>
      </c>
      <c r="K14">
        <v>2</v>
      </c>
      <c r="L14">
        <v>1</v>
      </c>
      <c r="M14">
        <v>3</v>
      </c>
      <c r="N14" t="s">
        <v>33</v>
      </c>
      <c r="O14" t="s">
        <v>43</v>
      </c>
      <c r="P14" t="s">
        <v>51</v>
      </c>
      <c r="Q14">
        <v>500000</v>
      </c>
      <c r="R14" t="s">
        <v>87</v>
      </c>
      <c r="S14" s="4">
        <v>46131</v>
      </c>
      <c r="T14" s="5" t="str">
        <f t="shared" si="0"/>
        <v>2026-04</v>
      </c>
    </row>
    <row r="15" spans="1:20" x14ac:dyDescent="0.3">
      <c r="A15" t="s">
        <v>88</v>
      </c>
      <c r="B15" t="s">
        <v>89</v>
      </c>
      <c r="C15">
        <v>17</v>
      </c>
      <c r="D15" t="s">
        <v>90</v>
      </c>
      <c r="E15" t="s">
        <v>91</v>
      </c>
      <c r="F15" t="s">
        <v>73</v>
      </c>
      <c r="G15" t="s">
        <v>41</v>
      </c>
      <c r="H15">
        <v>3</v>
      </c>
      <c r="I15">
        <v>5</v>
      </c>
      <c r="J15">
        <v>1</v>
      </c>
      <c r="K15">
        <v>1</v>
      </c>
      <c r="L15">
        <v>5</v>
      </c>
      <c r="M15">
        <v>6</v>
      </c>
      <c r="N15" t="s">
        <v>33</v>
      </c>
      <c r="O15" t="s">
        <v>43</v>
      </c>
      <c r="P15" t="s">
        <v>51</v>
      </c>
      <c r="Q15">
        <v>250000</v>
      </c>
      <c r="R15" t="s">
        <v>92</v>
      </c>
      <c r="S15" s="4">
        <v>46031</v>
      </c>
      <c r="T15" s="5" t="str">
        <f t="shared" si="0"/>
        <v>2026-01</v>
      </c>
    </row>
    <row r="16" spans="1:20" x14ac:dyDescent="0.3">
      <c r="A16" t="s">
        <v>93</v>
      </c>
      <c r="B16" t="s">
        <v>94</v>
      </c>
      <c r="C16">
        <v>37</v>
      </c>
      <c r="D16" t="s">
        <v>20</v>
      </c>
      <c r="E16" t="s">
        <v>95</v>
      </c>
      <c r="F16" t="s">
        <v>96</v>
      </c>
      <c r="G16" t="s">
        <v>23</v>
      </c>
      <c r="H16">
        <v>22</v>
      </c>
      <c r="I16">
        <v>5</v>
      </c>
      <c r="J16">
        <v>5</v>
      </c>
      <c r="K16">
        <v>2</v>
      </c>
      <c r="L16">
        <v>3</v>
      </c>
      <c r="M16">
        <v>9</v>
      </c>
      <c r="N16" t="s">
        <v>42</v>
      </c>
      <c r="O16" t="s">
        <v>43</v>
      </c>
      <c r="P16" t="s">
        <v>44</v>
      </c>
      <c r="Q16">
        <v>5000000</v>
      </c>
      <c r="R16" t="s">
        <v>97</v>
      </c>
      <c r="S16" s="4">
        <v>46030</v>
      </c>
      <c r="T16" s="5" t="str">
        <f t="shared" si="0"/>
        <v>2026-01</v>
      </c>
    </row>
    <row r="17" spans="1:20" x14ac:dyDescent="0.3">
      <c r="A17" t="s">
        <v>98</v>
      </c>
      <c r="B17" t="s">
        <v>99</v>
      </c>
      <c r="C17">
        <v>49</v>
      </c>
      <c r="D17" t="s">
        <v>30</v>
      </c>
      <c r="E17" t="s">
        <v>100</v>
      </c>
      <c r="F17" t="s">
        <v>61</v>
      </c>
      <c r="G17" t="s">
        <v>23</v>
      </c>
      <c r="H17">
        <v>33</v>
      </c>
      <c r="I17">
        <v>1</v>
      </c>
      <c r="J17">
        <v>4</v>
      </c>
      <c r="K17">
        <v>4</v>
      </c>
      <c r="L17">
        <v>4</v>
      </c>
      <c r="M17">
        <v>8</v>
      </c>
      <c r="N17" t="s">
        <v>24</v>
      </c>
      <c r="O17" t="s">
        <v>34</v>
      </c>
      <c r="P17" t="s">
        <v>26</v>
      </c>
      <c r="Q17">
        <v>50000</v>
      </c>
      <c r="R17" t="s">
        <v>45</v>
      </c>
      <c r="S17" s="4">
        <v>46046</v>
      </c>
      <c r="T17" s="5" t="str">
        <f t="shared" si="0"/>
        <v>2026-01</v>
      </c>
    </row>
    <row r="18" spans="1:20" x14ac:dyDescent="0.3">
      <c r="A18" t="s">
        <v>101</v>
      </c>
      <c r="B18" t="s">
        <v>102</v>
      </c>
      <c r="C18">
        <v>59</v>
      </c>
      <c r="D18" t="s">
        <v>83</v>
      </c>
      <c r="E18" t="s">
        <v>55</v>
      </c>
      <c r="F18" t="s">
        <v>56</v>
      </c>
      <c r="G18" t="s">
        <v>23</v>
      </c>
      <c r="H18">
        <v>14</v>
      </c>
      <c r="I18">
        <v>3</v>
      </c>
      <c r="J18">
        <v>3</v>
      </c>
      <c r="K18">
        <v>3</v>
      </c>
      <c r="L18">
        <v>4</v>
      </c>
      <c r="M18">
        <v>0</v>
      </c>
      <c r="N18" t="s">
        <v>33</v>
      </c>
      <c r="O18" t="s">
        <v>69</v>
      </c>
      <c r="P18" t="s">
        <v>44</v>
      </c>
      <c r="Q18">
        <v>5000000</v>
      </c>
      <c r="R18" t="s">
        <v>87</v>
      </c>
      <c r="S18" s="4">
        <v>46078</v>
      </c>
      <c r="T18" s="5" t="str">
        <f t="shared" si="0"/>
        <v>2026-02</v>
      </c>
    </row>
    <row r="19" spans="1:20" x14ac:dyDescent="0.3">
      <c r="A19" t="s">
        <v>103</v>
      </c>
      <c r="B19" t="s">
        <v>104</v>
      </c>
      <c r="C19">
        <v>45</v>
      </c>
      <c r="D19" t="s">
        <v>30</v>
      </c>
      <c r="E19" t="s">
        <v>105</v>
      </c>
      <c r="F19" t="s">
        <v>106</v>
      </c>
      <c r="G19" t="s">
        <v>23</v>
      </c>
      <c r="H19">
        <v>39</v>
      </c>
      <c r="I19">
        <v>5</v>
      </c>
      <c r="J19">
        <v>1</v>
      </c>
      <c r="K19">
        <v>1</v>
      </c>
      <c r="L19">
        <v>3</v>
      </c>
      <c r="M19">
        <v>3</v>
      </c>
      <c r="N19" t="s">
        <v>33</v>
      </c>
      <c r="O19" t="s">
        <v>107</v>
      </c>
      <c r="P19" t="s">
        <v>108</v>
      </c>
      <c r="Q19">
        <v>50000</v>
      </c>
      <c r="R19" t="s">
        <v>80</v>
      </c>
      <c r="S19" s="4">
        <v>46082</v>
      </c>
      <c r="T19" s="5" t="str">
        <f t="shared" si="0"/>
        <v>2026-03</v>
      </c>
    </row>
    <row r="20" spans="1:20" x14ac:dyDescent="0.3">
      <c r="A20" t="s">
        <v>109</v>
      </c>
      <c r="B20" t="s">
        <v>110</v>
      </c>
      <c r="C20">
        <v>51</v>
      </c>
      <c r="D20" t="s">
        <v>30</v>
      </c>
      <c r="E20" t="s">
        <v>78</v>
      </c>
      <c r="F20" t="s">
        <v>79</v>
      </c>
      <c r="G20" t="s">
        <v>23</v>
      </c>
      <c r="H20">
        <v>45</v>
      </c>
      <c r="I20">
        <v>4</v>
      </c>
      <c r="J20">
        <v>5</v>
      </c>
      <c r="K20">
        <v>5</v>
      </c>
      <c r="L20">
        <v>5</v>
      </c>
      <c r="M20">
        <v>6</v>
      </c>
      <c r="N20" t="s">
        <v>33</v>
      </c>
      <c r="O20" t="s">
        <v>25</v>
      </c>
      <c r="P20" t="s">
        <v>51</v>
      </c>
      <c r="Q20">
        <v>1000000</v>
      </c>
      <c r="R20" t="s">
        <v>92</v>
      </c>
      <c r="S20" s="4">
        <v>46152</v>
      </c>
      <c r="T20" s="5" t="str">
        <f t="shared" si="0"/>
        <v>2026-05</v>
      </c>
    </row>
    <row r="21" spans="1:20" x14ac:dyDescent="0.3">
      <c r="A21" t="s">
        <v>111</v>
      </c>
      <c r="B21" t="s">
        <v>112</v>
      </c>
      <c r="C21">
        <v>47</v>
      </c>
      <c r="D21" t="s">
        <v>30</v>
      </c>
      <c r="E21" t="s">
        <v>95</v>
      </c>
      <c r="F21" t="s">
        <v>96</v>
      </c>
      <c r="G21" t="s">
        <v>23</v>
      </c>
      <c r="H21">
        <v>15</v>
      </c>
      <c r="I21">
        <v>1</v>
      </c>
      <c r="J21">
        <v>3</v>
      </c>
      <c r="K21">
        <v>4</v>
      </c>
      <c r="L21">
        <v>2</v>
      </c>
      <c r="M21">
        <v>4</v>
      </c>
      <c r="N21" t="s">
        <v>33</v>
      </c>
      <c r="O21" t="s">
        <v>69</v>
      </c>
      <c r="P21" t="s">
        <v>26</v>
      </c>
      <c r="Q21">
        <v>50000</v>
      </c>
      <c r="R21" t="s">
        <v>66</v>
      </c>
      <c r="S21" s="4">
        <v>46177</v>
      </c>
      <c r="T21" s="5" t="str">
        <f t="shared" si="0"/>
        <v>2026-06</v>
      </c>
    </row>
    <row r="22" spans="1:20" x14ac:dyDescent="0.3">
      <c r="A22" t="s">
        <v>113</v>
      </c>
      <c r="B22" t="s">
        <v>114</v>
      </c>
      <c r="C22">
        <v>25</v>
      </c>
      <c r="D22" t="s">
        <v>54</v>
      </c>
      <c r="E22" t="s">
        <v>115</v>
      </c>
      <c r="F22" t="s">
        <v>22</v>
      </c>
      <c r="G22" t="s">
        <v>41</v>
      </c>
      <c r="H22">
        <v>34</v>
      </c>
      <c r="I22">
        <v>2</v>
      </c>
      <c r="J22">
        <v>5</v>
      </c>
      <c r="K22">
        <v>2</v>
      </c>
      <c r="L22">
        <v>5</v>
      </c>
      <c r="M22">
        <v>7</v>
      </c>
      <c r="N22" t="s">
        <v>24</v>
      </c>
      <c r="O22" t="s">
        <v>34</v>
      </c>
      <c r="P22" t="s">
        <v>44</v>
      </c>
      <c r="Q22">
        <v>100000</v>
      </c>
      <c r="R22" t="s">
        <v>92</v>
      </c>
      <c r="S22" s="4">
        <v>46029</v>
      </c>
      <c r="T22" s="5" t="str">
        <f t="shared" si="0"/>
        <v>2026-01</v>
      </c>
    </row>
    <row r="23" spans="1:20" x14ac:dyDescent="0.3">
      <c r="A23" t="s">
        <v>116</v>
      </c>
      <c r="B23" t="s">
        <v>117</v>
      </c>
      <c r="C23">
        <v>52</v>
      </c>
      <c r="D23" t="s">
        <v>30</v>
      </c>
      <c r="E23" t="s">
        <v>118</v>
      </c>
      <c r="F23" t="s">
        <v>79</v>
      </c>
      <c r="G23" t="s">
        <v>41</v>
      </c>
      <c r="H23">
        <v>12</v>
      </c>
      <c r="I23">
        <v>4</v>
      </c>
      <c r="J23">
        <v>1</v>
      </c>
      <c r="K23">
        <v>4</v>
      </c>
      <c r="L23">
        <v>2</v>
      </c>
      <c r="M23">
        <v>9</v>
      </c>
      <c r="N23" t="s">
        <v>42</v>
      </c>
      <c r="O23" t="s">
        <v>69</v>
      </c>
      <c r="P23" t="s">
        <v>108</v>
      </c>
      <c r="Q23">
        <v>1000000</v>
      </c>
      <c r="R23" t="s">
        <v>97</v>
      </c>
      <c r="S23" s="4">
        <v>46166</v>
      </c>
      <c r="T23" s="5" t="str">
        <f t="shared" si="0"/>
        <v>2026-05</v>
      </c>
    </row>
    <row r="24" spans="1:20" x14ac:dyDescent="0.3">
      <c r="A24" t="s">
        <v>119</v>
      </c>
      <c r="B24" t="s">
        <v>120</v>
      </c>
      <c r="C24">
        <v>27</v>
      </c>
      <c r="D24" t="s">
        <v>54</v>
      </c>
      <c r="E24" t="s">
        <v>64</v>
      </c>
      <c r="F24" t="s">
        <v>65</v>
      </c>
      <c r="G24" t="s">
        <v>41</v>
      </c>
      <c r="H24">
        <v>15</v>
      </c>
      <c r="I24">
        <v>2</v>
      </c>
      <c r="J24">
        <v>1</v>
      </c>
      <c r="K24">
        <v>1</v>
      </c>
      <c r="L24">
        <v>1</v>
      </c>
      <c r="M24">
        <v>0</v>
      </c>
      <c r="N24" t="s">
        <v>33</v>
      </c>
      <c r="O24" t="s">
        <v>43</v>
      </c>
      <c r="P24" t="s">
        <v>108</v>
      </c>
      <c r="Q24">
        <v>100000</v>
      </c>
      <c r="R24" t="s">
        <v>121</v>
      </c>
      <c r="S24" s="4">
        <v>46073</v>
      </c>
      <c r="T24" s="5" t="str">
        <f t="shared" si="0"/>
        <v>2026-02</v>
      </c>
    </row>
    <row r="25" spans="1:20" x14ac:dyDescent="0.3">
      <c r="A25" t="s">
        <v>122</v>
      </c>
      <c r="B25" t="s">
        <v>123</v>
      </c>
      <c r="C25">
        <v>44</v>
      </c>
      <c r="D25" t="s">
        <v>20</v>
      </c>
      <c r="E25" t="s">
        <v>124</v>
      </c>
      <c r="F25" t="s">
        <v>125</v>
      </c>
      <c r="G25" t="s">
        <v>23</v>
      </c>
      <c r="H25">
        <v>41</v>
      </c>
      <c r="I25">
        <v>4</v>
      </c>
      <c r="J25">
        <v>1</v>
      </c>
      <c r="K25">
        <v>1</v>
      </c>
      <c r="L25">
        <v>1</v>
      </c>
      <c r="M25">
        <v>8</v>
      </c>
      <c r="N25" t="s">
        <v>24</v>
      </c>
      <c r="O25" t="s">
        <v>69</v>
      </c>
      <c r="P25" t="s">
        <v>51</v>
      </c>
      <c r="Q25">
        <v>1000000</v>
      </c>
      <c r="R25" t="s">
        <v>126</v>
      </c>
      <c r="S25" s="4">
        <v>46189</v>
      </c>
      <c r="T25" s="5" t="str">
        <f t="shared" si="0"/>
        <v>2026-06</v>
      </c>
    </row>
    <row r="26" spans="1:20" x14ac:dyDescent="0.3">
      <c r="A26" t="s">
        <v>127</v>
      </c>
      <c r="B26" t="s">
        <v>128</v>
      </c>
      <c r="C26">
        <v>52</v>
      </c>
      <c r="D26" t="s">
        <v>30</v>
      </c>
      <c r="E26" t="s">
        <v>129</v>
      </c>
      <c r="F26" t="s">
        <v>130</v>
      </c>
      <c r="G26" t="s">
        <v>41</v>
      </c>
      <c r="H26">
        <v>19</v>
      </c>
      <c r="I26">
        <v>1</v>
      </c>
      <c r="J26">
        <v>3</v>
      </c>
      <c r="K26">
        <v>2</v>
      </c>
      <c r="L26">
        <v>3</v>
      </c>
      <c r="M26">
        <v>6</v>
      </c>
      <c r="N26" t="s">
        <v>33</v>
      </c>
      <c r="O26" t="s">
        <v>107</v>
      </c>
      <c r="P26" t="s">
        <v>26</v>
      </c>
      <c r="Q26">
        <v>50000</v>
      </c>
      <c r="R26" t="s">
        <v>84</v>
      </c>
      <c r="S26" s="4">
        <v>46202</v>
      </c>
      <c r="T26" s="5" t="str">
        <f t="shared" si="0"/>
        <v>2026-06</v>
      </c>
    </row>
    <row r="27" spans="1:20" x14ac:dyDescent="0.3">
      <c r="A27" t="s">
        <v>131</v>
      </c>
      <c r="B27" t="s">
        <v>75</v>
      </c>
      <c r="C27">
        <v>32</v>
      </c>
      <c r="D27" t="s">
        <v>54</v>
      </c>
      <c r="E27" t="s">
        <v>91</v>
      </c>
      <c r="F27" t="s">
        <v>73</v>
      </c>
      <c r="G27" t="s">
        <v>41</v>
      </c>
      <c r="H27">
        <v>27</v>
      </c>
      <c r="I27">
        <v>1</v>
      </c>
      <c r="J27">
        <v>5</v>
      </c>
      <c r="K27">
        <v>5</v>
      </c>
      <c r="L27">
        <v>1</v>
      </c>
      <c r="M27">
        <v>7</v>
      </c>
      <c r="N27" t="s">
        <v>24</v>
      </c>
      <c r="O27" t="s">
        <v>34</v>
      </c>
      <c r="P27" t="s">
        <v>26</v>
      </c>
      <c r="Q27">
        <v>5000000</v>
      </c>
      <c r="R27" t="s">
        <v>27</v>
      </c>
      <c r="S27" s="4">
        <v>46162</v>
      </c>
      <c r="T27" s="5" t="str">
        <f t="shared" si="0"/>
        <v>2026-05</v>
      </c>
    </row>
    <row r="28" spans="1:20" x14ac:dyDescent="0.3">
      <c r="A28" t="s">
        <v>132</v>
      </c>
      <c r="B28" t="s">
        <v>75</v>
      </c>
      <c r="C28">
        <v>54</v>
      </c>
      <c r="D28" t="s">
        <v>30</v>
      </c>
      <c r="E28" t="s">
        <v>55</v>
      </c>
      <c r="F28" t="s">
        <v>56</v>
      </c>
      <c r="G28" t="s">
        <v>23</v>
      </c>
      <c r="H28">
        <v>2</v>
      </c>
      <c r="I28">
        <v>3</v>
      </c>
      <c r="J28">
        <v>1</v>
      </c>
      <c r="K28">
        <v>1</v>
      </c>
      <c r="L28">
        <v>1</v>
      </c>
      <c r="M28">
        <v>3</v>
      </c>
      <c r="N28" t="s">
        <v>33</v>
      </c>
      <c r="O28" t="s">
        <v>34</v>
      </c>
      <c r="P28" t="s">
        <v>44</v>
      </c>
      <c r="Q28">
        <v>500000</v>
      </c>
      <c r="R28" t="s">
        <v>80</v>
      </c>
      <c r="S28" s="4">
        <v>46130</v>
      </c>
      <c r="T28" s="5" t="str">
        <f t="shared" si="0"/>
        <v>2026-04</v>
      </c>
    </row>
    <row r="29" spans="1:20" x14ac:dyDescent="0.3">
      <c r="A29" t="s">
        <v>133</v>
      </c>
      <c r="B29" t="s">
        <v>99</v>
      </c>
      <c r="C29">
        <v>38</v>
      </c>
      <c r="D29" t="s">
        <v>20</v>
      </c>
      <c r="E29" t="s">
        <v>134</v>
      </c>
      <c r="F29" t="s">
        <v>73</v>
      </c>
      <c r="G29" t="s">
        <v>23</v>
      </c>
      <c r="H29">
        <v>45</v>
      </c>
      <c r="I29">
        <v>5</v>
      </c>
      <c r="J29">
        <v>4</v>
      </c>
      <c r="K29">
        <v>4</v>
      </c>
      <c r="L29">
        <v>1</v>
      </c>
      <c r="M29">
        <v>5</v>
      </c>
      <c r="N29" t="s">
        <v>33</v>
      </c>
      <c r="O29" t="s">
        <v>69</v>
      </c>
      <c r="P29" t="s">
        <v>51</v>
      </c>
      <c r="Q29">
        <v>50000</v>
      </c>
      <c r="R29" t="s">
        <v>57</v>
      </c>
      <c r="S29" s="4">
        <v>46079</v>
      </c>
      <c r="T29" s="5" t="str">
        <f t="shared" si="0"/>
        <v>2026-02</v>
      </c>
    </row>
    <row r="30" spans="1:20" x14ac:dyDescent="0.3">
      <c r="A30" t="s">
        <v>135</v>
      </c>
      <c r="B30" t="s">
        <v>136</v>
      </c>
      <c r="C30">
        <v>22</v>
      </c>
      <c r="D30" t="s">
        <v>90</v>
      </c>
      <c r="E30" t="s">
        <v>124</v>
      </c>
      <c r="F30" t="s">
        <v>125</v>
      </c>
      <c r="G30" t="s">
        <v>41</v>
      </c>
      <c r="H30">
        <v>46</v>
      </c>
      <c r="I30">
        <v>1</v>
      </c>
      <c r="J30">
        <v>1</v>
      </c>
      <c r="K30">
        <v>4</v>
      </c>
      <c r="L30">
        <v>3</v>
      </c>
      <c r="M30">
        <v>4</v>
      </c>
      <c r="N30" t="s">
        <v>33</v>
      </c>
      <c r="O30" t="s">
        <v>25</v>
      </c>
      <c r="P30" t="s">
        <v>44</v>
      </c>
      <c r="Q30">
        <v>50000</v>
      </c>
      <c r="R30" t="s">
        <v>57</v>
      </c>
      <c r="S30" s="4">
        <v>46137</v>
      </c>
      <c r="T30" s="5" t="str">
        <f t="shared" si="0"/>
        <v>2026-04</v>
      </c>
    </row>
    <row r="31" spans="1:20" x14ac:dyDescent="0.3">
      <c r="A31" t="s">
        <v>137</v>
      </c>
      <c r="B31" t="s">
        <v>138</v>
      </c>
      <c r="C31">
        <v>51</v>
      </c>
      <c r="D31" t="s">
        <v>30</v>
      </c>
      <c r="E31" t="s">
        <v>39</v>
      </c>
      <c r="F31" t="s">
        <v>40</v>
      </c>
      <c r="G31" t="s">
        <v>41</v>
      </c>
      <c r="H31">
        <v>40</v>
      </c>
      <c r="I31">
        <v>3</v>
      </c>
      <c r="J31">
        <v>1</v>
      </c>
      <c r="K31">
        <v>4</v>
      </c>
      <c r="L31">
        <v>5</v>
      </c>
      <c r="M31">
        <v>9</v>
      </c>
      <c r="N31" t="s">
        <v>42</v>
      </c>
      <c r="O31" t="s">
        <v>25</v>
      </c>
      <c r="P31" t="s">
        <v>108</v>
      </c>
      <c r="Q31">
        <v>500000</v>
      </c>
      <c r="R31" t="s">
        <v>45</v>
      </c>
      <c r="S31" s="4">
        <v>46173</v>
      </c>
      <c r="T31" s="5" t="str">
        <f t="shared" si="0"/>
        <v>2026-05</v>
      </c>
    </row>
    <row r="32" spans="1:20" x14ac:dyDescent="0.3">
      <c r="A32" t="s">
        <v>139</v>
      </c>
      <c r="B32" t="s">
        <v>128</v>
      </c>
      <c r="C32">
        <v>44</v>
      </c>
      <c r="D32" t="s">
        <v>20</v>
      </c>
      <c r="E32" t="s">
        <v>140</v>
      </c>
      <c r="F32" t="s">
        <v>40</v>
      </c>
      <c r="G32" t="s">
        <v>23</v>
      </c>
      <c r="H32">
        <v>25</v>
      </c>
      <c r="I32">
        <v>4</v>
      </c>
      <c r="J32">
        <v>5</v>
      </c>
      <c r="K32">
        <v>2</v>
      </c>
      <c r="L32">
        <v>3</v>
      </c>
      <c r="M32">
        <v>8</v>
      </c>
      <c r="N32" t="s">
        <v>24</v>
      </c>
      <c r="O32" t="s">
        <v>34</v>
      </c>
      <c r="P32" t="s">
        <v>51</v>
      </c>
      <c r="Q32">
        <v>1000000</v>
      </c>
      <c r="R32" t="s">
        <v>97</v>
      </c>
      <c r="S32" s="4">
        <v>46094</v>
      </c>
      <c r="T32" s="5" t="str">
        <f t="shared" si="0"/>
        <v>2026-03</v>
      </c>
    </row>
    <row r="33" spans="1:20" x14ac:dyDescent="0.3">
      <c r="A33" t="s">
        <v>141</v>
      </c>
      <c r="B33" t="s">
        <v>19</v>
      </c>
      <c r="C33">
        <v>17</v>
      </c>
      <c r="D33" t="s">
        <v>90</v>
      </c>
      <c r="E33" t="s">
        <v>142</v>
      </c>
      <c r="F33" t="s">
        <v>96</v>
      </c>
      <c r="G33" t="s">
        <v>41</v>
      </c>
      <c r="H33">
        <v>34</v>
      </c>
      <c r="I33">
        <v>5</v>
      </c>
      <c r="J33">
        <v>2</v>
      </c>
      <c r="K33">
        <v>5</v>
      </c>
      <c r="L33">
        <v>4</v>
      </c>
      <c r="M33">
        <v>8</v>
      </c>
      <c r="N33" t="s">
        <v>24</v>
      </c>
      <c r="O33" t="s">
        <v>50</v>
      </c>
      <c r="P33" t="s">
        <v>108</v>
      </c>
      <c r="Q33">
        <v>2000000</v>
      </c>
      <c r="R33" t="s">
        <v>143</v>
      </c>
      <c r="S33" s="4">
        <v>46024</v>
      </c>
      <c r="T33" s="5" t="str">
        <f t="shared" si="0"/>
        <v>2026-01</v>
      </c>
    </row>
    <row r="34" spans="1:20" x14ac:dyDescent="0.3">
      <c r="A34" t="s">
        <v>144</v>
      </c>
      <c r="B34" t="s">
        <v>145</v>
      </c>
      <c r="C34">
        <v>58</v>
      </c>
      <c r="D34" t="s">
        <v>83</v>
      </c>
      <c r="E34" t="s">
        <v>118</v>
      </c>
      <c r="F34" t="s">
        <v>79</v>
      </c>
      <c r="G34" t="s">
        <v>23</v>
      </c>
      <c r="H34">
        <v>38</v>
      </c>
      <c r="I34">
        <v>4</v>
      </c>
      <c r="J34">
        <v>5</v>
      </c>
      <c r="K34">
        <v>1</v>
      </c>
      <c r="L34">
        <v>3</v>
      </c>
      <c r="M34">
        <v>0</v>
      </c>
      <c r="N34" t="s">
        <v>33</v>
      </c>
      <c r="O34" t="s">
        <v>50</v>
      </c>
      <c r="P34" t="s">
        <v>44</v>
      </c>
      <c r="Q34">
        <v>500000</v>
      </c>
      <c r="R34" t="s">
        <v>36</v>
      </c>
      <c r="S34" s="4">
        <v>46063</v>
      </c>
      <c r="T34" s="5" t="str">
        <f t="shared" si="0"/>
        <v>2026-02</v>
      </c>
    </row>
    <row r="35" spans="1:20" x14ac:dyDescent="0.3">
      <c r="A35" t="s">
        <v>146</v>
      </c>
      <c r="B35" t="s">
        <v>147</v>
      </c>
      <c r="C35">
        <v>41</v>
      </c>
      <c r="D35" t="s">
        <v>20</v>
      </c>
      <c r="E35" t="s">
        <v>142</v>
      </c>
      <c r="F35" t="s">
        <v>96</v>
      </c>
      <c r="G35" t="s">
        <v>23</v>
      </c>
      <c r="H35">
        <v>9</v>
      </c>
      <c r="I35">
        <v>1</v>
      </c>
      <c r="J35">
        <v>5</v>
      </c>
      <c r="K35">
        <v>2</v>
      </c>
      <c r="L35">
        <v>2</v>
      </c>
      <c r="M35">
        <v>0</v>
      </c>
      <c r="N35" t="s">
        <v>33</v>
      </c>
      <c r="O35" t="s">
        <v>50</v>
      </c>
      <c r="P35" t="s">
        <v>108</v>
      </c>
      <c r="Q35">
        <v>500000</v>
      </c>
      <c r="R35" t="s">
        <v>57</v>
      </c>
      <c r="S35" s="4">
        <v>46201</v>
      </c>
      <c r="T35" s="5" t="str">
        <f t="shared" si="0"/>
        <v>2026-06</v>
      </c>
    </row>
    <row r="36" spans="1:20" x14ac:dyDescent="0.3">
      <c r="A36" t="s">
        <v>148</v>
      </c>
      <c r="B36" t="s">
        <v>149</v>
      </c>
      <c r="C36">
        <v>41</v>
      </c>
      <c r="D36" t="s">
        <v>20</v>
      </c>
      <c r="E36" t="s">
        <v>95</v>
      </c>
      <c r="F36" t="s">
        <v>96</v>
      </c>
      <c r="G36" t="s">
        <v>23</v>
      </c>
      <c r="H36">
        <v>24</v>
      </c>
      <c r="I36">
        <v>1</v>
      </c>
      <c r="J36">
        <v>3</v>
      </c>
      <c r="K36">
        <v>1</v>
      </c>
      <c r="L36">
        <v>5</v>
      </c>
      <c r="M36">
        <v>0</v>
      </c>
      <c r="N36" t="s">
        <v>33</v>
      </c>
      <c r="O36" t="s">
        <v>25</v>
      </c>
      <c r="P36" t="s">
        <v>26</v>
      </c>
      <c r="Q36">
        <v>100000</v>
      </c>
      <c r="R36" t="s">
        <v>87</v>
      </c>
      <c r="S36" s="4">
        <v>46131</v>
      </c>
      <c r="T36" s="5" t="str">
        <f t="shared" si="0"/>
        <v>2026-04</v>
      </c>
    </row>
    <row r="37" spans="1:20" x14ac:dyDescent="0.3">
      <c r="A37" t="s">
        <v>150</v>
      </c>
      <c r="B37" t="s">
        <v>151</v>
      </c>
      <c r="C37">
        <v>24</v>
      </c>
      <c r="D37" t="s">
        <v>90</v>
      </c>
      <c r="E37" t="s">
        <v>152</v>
      </c>
      <c r="F37" t="s">
        <v>65</v>
      </c>
      <c r="G37" t="s">
        <v>23</v>
      </c>
      <c r="H37">
        <v>48</v>
      </c>
      <c r="I37">
        <v>4</v>
      </c>
      <c r="J37">
        <v>4</v>
      </c>
      <c r="K37">
        <v>4</v>
      </c>
      <c r="L37">
        <v>3</v>
      </c>
      <c r="M37">
        <v>1</v>
      </c>
      <c r="N37" t="s">
        <v>33</v>
      </c>
      <c r="O37" t="s">
        <v>50</v>
      </c>
      <c r="P37" t="s">
        <v>108</v>
      </c>
      <c r="Q37">
        <v>100000</v>
      </c>
      <c r="R37" t="s">
        <v>80</v>
      </c>
      <c r="S37" s="4">
        <v>46110</v>
      </c>
      <c r="T37" s="5" t="str">
        <f t="shared" si="0"/>
        <v>2026-03</v>
      </c>
    </row>
    <row r="38" spans="1:20" x14ac:dyDescent="0.3">
      <c r="A38" t="s">
        <v>153</v>
      </c>
      <c r="B38" t="s">
        <v>29</v>
      </c>
      <c r="C38">
        <v>23</v>
      </c>
      <c r="D38" t="s">
        <v>90</v>
      </c>
      <c r="E38" t="s">
        <v>21</v>
      </c>
      <c r="F38" t="s">
        <v>22</v>
      </c>
      <c r="G38" t="s">
        <v>41</v>
      </c>
      <c r="H38">
        <v>46</v>
      </c>
      <c r="I38">
        <v>5</v>
      </c>
      <c r="J38">
        <v>5</v>
      </c>
      <c r="K38">
        <v>2</v>
      </c>
      <c r="L38">
        <v>3</v>
      </c>
      <c r="M38">
        <v>1</v>
      </c>
      <c r="N38" t="s">
        <v>33</v>
      </c>
      <c r="O38" t="s">
        <v>50</v>
      </c>
      <c r="P38" t="s">
        <v>26</v>
      </c>
      <c r="Q38">
        <v>1000000</v>
      </c>
      <c r="R38" t="s">
        <v>87</v>
      </c>
      <c r="S38" s="4">
        <v>46094</v>
      </c>
      <c r="T38" s="5" t="str">
        <f t="shared" si="0"/>
        <v>2026-03</v>
      </c>
    </row>
    <row r="39" spans="1:20" x14ac:dyDescent="0.3">
      <c r="A39" t="s">
        <v>154</v>
      </c>
      <c r="B39" t="s">
        <v>136</v>
      </c>
      <c r="C39">
        <v>26</v>
      </c>
      <c r="D39" t="s">
        <v>54</v>
      </c>
      <c r="E39" t="s">
        <v>21</v>
      </c>
      <c r="F39" t="s">
        <v>22</v>
      </c>
      <c r="G39" t="s">
        <v>23</v>
      </c>
      <c r="H39">
        <v>29</v>
      </c>
      <c r="I39">
        <v>5</v>
      </c>
      <c r="J39">
        <v>4</v>
      </c>
      <c r="K39">
        <v>3</v>
      </c>
      <c r="L39">
        <v>5</v>
      </c>
      <c r="M39">
        <v>9</v>
      </c>
      <c r="N39" t="s">
        <v>42</v>
      </c>
      <c r="O39" t="s">
        <v>69</v>
      </c>
      <c r="P39" t="s">
        <v>26</v>
      </c>
      <c r="Q39">
        <v>50000</v>
      </c>
      <c r="R39" t="s">
        <v>62</v>
      </c>
      <c r="S39" s="4">
        <v>46062</v>
      </c>
      <c r="T39" s="5" t="str">
        <f t="shared" si="0"/>
        <v>2026-02</v>
      </c>
    </row>
    <row r="40" spans="1:20" x14ac:dyDescent="0.3">
      <c r="A40" t="s">
        <v>155</v>
      </c>
      <c r="B40" t="s">
        <v>82</v>
      </c>
      <c r="C40">
        <v>23</v>
      </c>
      <c r="D40" t="s">
        <v>90</v>
      </c>
      <c r="E40" t="s">
        <v>156</v>
      </c>
      <c r="F40" t="s">
        <v>56</v>
      </c>
      <c r="G40" t="s">
        <v>41</v>
      </c>
      <c r="H40">
        <v>21</v>
      </c>
      <c r="I40">
        <v>5</v>
      </c>
      <c r="J40">
        <v>3</v>
      </c>
      <c r="K40">
        <v>3</v>
      </c>
      <c r="L40">
        <v>3</v>
      </c>
      <c r="M40">
        <v>7</v>
      </c>
      <c r="N40" t="s">
        <v>24</v>
      </c>
      <c r="O40" t="s">
        <v>43</v>
      </c>
      <c r="P40" t="s">
        <v>108</v>
      </c>
      <c r="Q40">
        <v>500000</v>
      </c>
      <c r="R40" t="s">
        <v>84</v>
      </c>
      <c r="S40" s="4">
        <v>46078</v>
      </c>
      <c r="T40" s="5" t="str">
        <f t="shared" si="0"/>
        <v>2026-02</v>
      </c>
    </row>
    <row r="41" spans="1:20" x14ac:dyDescent="0.3">
      <c r="A41" t="s">
        <v>157</v>
      </c>
      <c r="B41" t="s">
        <v>94</v>
      </c>
      <c r="C41">
        <v>40</v>
      </c>
      <c r="D41" t="s">
        <v>20</v>
      </c>
      <c r="E41" t="s">
        <v>21</v>
      </c>
      <c r="F41" t="s">
        <v>22</v>
      </c>
      <c r="G41" t="s">
        <v>23</v>
      </c>
      <c r="H41">
        <v>41</v>
      </c>
      <c r="I41">
        <v>4</v>
      </c>
      <c r="J41">
        <v>1</v>
      </c>
      <c r="K41">
        <v>5</v>
      </c>
      <c r="L41">
        <v>1</v>
      </c>
      <c r="M41">
        <v>0</v>
      </c>
      <c r="N41" t="s">
        <v>33</v>
      </c>
      <c r="O41" t="s">
        <v>50</v>
      </c>
      <c r="P41" t="s">
        <v>26</v>
      </c>
      <c r="Q41">
        <v>500000</v>
      </c>
      <c r="R41" t="s">
        <v>57</v>
      </c>
      <c r="S41" s="4">
        <v>46109</v>
      </c>
      <c r="T41" s="5" t="str">
        <f t="shared" si="0"/>
        <v>2026-03</v>
      </c>
    </row>
    <row r="42" spans="1:20" x14ac:dyDescent="0.3">
      <c r="A42" t="s">
        <v>158</v>
      </c>
      <c r="B42" t="s">
        <v>159</v>
      </c>
      <c r="C42">
        <v>27</v>
      </c>
      <c r="D42" t="s">
        <v>54</v>
      </c>
      <c r="E42" t="s">
        <v>160</v>
      </c>
      <c r="F42" t="s">
        <v>161</v>
      </c>
      <c r="G42" t="s">
        <v>23</v>
      </c>
      <c r="H42">
        <v>11</v>
      </c>
      <c r="I42">
        <v>2</v>
      </c>
      <c r="J42">
        <v>2</v>
      </c>
      <c r="K42">
        <v>3</v>
      </c>
      <c r="L42">
        <v>4</v>
      </c>
      <c r="M42">
        <v>2</v>
      </c>
      <c r="N42" t="s">
        <v>33</v>
      </c>
      <c r="O42" t="s">
        <v>69</v>
      </c>
      <c r="P42" t="s">
        <v>26</v>
      </c>
      <c r="Q42">
        <v>1000000</v>
      </c>
      <c r="R42" t="s">
        <v>87</v>
      </c>
      <c r="S42" s="4">
        <v>46049</v>
      </c>
      <c r="T42" s="5" t="str">
        <f t="shared" si="0"/>
        <v>2026-01</v>
      </c>
    </row>
    <row r="43" spans="1:20" x14ac:dyDescent="0.3">
      <c r="A43" t="s">
        <v>162</v>
      </c>
      <c r="B43" t="s">
        <v>47</v>
      </c>
      <c r="C43">
        <v>22</v>
      </c>
      <c r="D43" t="s">
        <v>90</v>
      </c>
      <c r="E43" t="s">
        <v>163</v>
      </c>
      <c r="F43" t="s">
        <v>161</v>
      </c>
      <c r="G43" t="s">
        <v>41</v>
      </c>
      <c r="H43">
        <v>17</v>
      </c>
      <c r="I43">
        <v>4</v>
      </c>
      <c r="J43">
        <v>5</v>
      </c>
      <c r="K43">
        <v>5</v>
      </c>
      <c r="L43">
        <v>2</v>
      </c>
      <c r="M43">
        <v>2</v>
      </c>
      <c r="N43" t="s">
        <v>33</v>
      </c>
      <c r="O43" t="s">
        <v>43</v>
      </c>
      <c r="P43" t="s">
        <v>35</v>
      </c>
      <c r="Q43">
        <v>2000000</v>
      </c>
      <c r="R43" t="s">
        <v>80</v>
      </c>
      <c r="S43" s="4">
        <v>46046</v>
      </c>
      <c r="T43" s="5" t="str">
        <f t="shared" si="0"/>
        <v>2026-01</v>
      </c>
    </row>
    <row r="44" spans="1:20" x14ac:dyDescent="0.3">
      <c r="A44" t="s">
        <v>164</v>
      </c>
      <c r="B44" t="s">
        <v>165</v>
      </c>
      <c r="C44">
        <v>41</v>
      </c>
      <c r="D44" t="s">
        <v>20</v>
      </c>
      <c r="E44" t="s">
        <v>166</v>
      </c>
      <c r="F44" t="s">
        <v>125</v>
      </c>
      <c r="G44" t="s">
        <v>41</v>
      </c>
      <c r="H44">
        <v>23</v>
      </c>
      <c r="I44">
        <v>5</v>
      </c>
      <c r="J44">
        <v>3</v>
      </c>
      <c r="K44">
        <v>1</v>
      </c>
      <c r="L44">
        <v>4</v>
      </c>
      <c r="M44">
        <v>1</v>
      </c>
      <c r="N44" t="s">
        <v>33</v>
      </c>
      <c r="O44" t="s">
        <v>43</v>
      </c>
      <c r="P44" t="s">
        <v>44</v>
      </c>
      <c r="Q44">
        <v>1000000</v>
      </c>
      <c r="R44" t="s">
        <v>57</v>
      </c>
      <c r="S44" s="4">
        <v>46120</v>
      </c>
      <c r="T44" s="5" t="str">
        <f t="shared" si="0"/>
        <v>2026-04</v>
      </c>
    </row>
    <row r="45" spans="1:20" x14ac:dyDescent="0.3">
      <c r="A45" t="s">
        <v>167</v>
      </c>
      <c r="B45" t="s">
        <v>99</v>
      </c>
      <c r="C45">
        <v>17</v>
      </c>
      <c r="D45" t="s">
        <v>90</v>
      </c>
      <c r="E45" t="s">
        <v>142</v>
      </c>
      <c r="F45" t="s">
        <v>96</v>
      </c>
      <c r="G45" t="s">
        <v>41</v>
      </c>
      <c r="H45">
        <v>21</v>
      </c>
      <c r="I45">
        <v>5</v>
      </c>
      <c r="J45">
        <v>2</v>
      </c>
      <c r="K45">
        <v>4</v>
      </c>
      <c r="L45">
        <v>1</v>
      </c>
      <c r="M45">
        <v>10</v>
      </c>
      <c r="N45" t="s">
        <v>42</v>
      </c>
      <c r="O45" t="s">
        <v>69</v>
      </c>
      <c r="P45" t="s">
        <v>44</v>
      </c>
      <c r="Q45">
        <v>100000</v>
      </c>
      <c r="R45" t="s">
        <v>62</v>
      </c>
      <c r="S45" s="4">
        <v>46047</v>
      </c>
      <c r="T45" s="5" t="str">
        <f t="shared" si="0"/>
        <v>2026-01</v>
      </c>
    </row>
    <row r="46" spans="1:20" x14ac:dyDescent="0.3">
      <c r="A46" t="s">
        <v>168</v>
      </c>
      <c r="B46" t="s">
        <v>149</v>
      </c>
      <c r="C46">
        <v>31</v>
      </c>
      <c r="D46" t="s">
        <v>54</v>
      </c>
      <c r="E46" t="s">
        <v>169</v>
      </c>
      <c r="F46" t="s">
        <v>49</v>
      </c>
      <c r="G46" t="s">
        <v>23</v>
      </c>
      <c r="H46">
        <v>3</v>
      </c>
      <c r="I46">
        <v>4</v>
      </c>
      <c r="J46">
        <v>1</v>
      </c>
      <c r="K46">
        <v>5</v>
      </c>
      <c r="L46">
        <v>2</v>
      </c>
      <c r="M46">
        <v>3</v>
      </c>
      <c r="N46" t="s">
        <v>33</v>
      </c>
      <c r="O46" t="s">
        <v>107</v>
      </c>
      <c r="P46" t="s">
        <v>26</v>
      </c>
      <c r="Q46">
        <v>500000</v>
      </c>
      <c r="R46" t="s">
        <v>57</v>
      </c>
      <c r="S46" s="4">
        <v>46114</v>
      </c>
      <c r="T46" s="5" t="str">
        <f t="shared" si="0"/>
        <v>2026-04</v>
      </c>
    </row>
    <row r="47" spans="1:20" x14ac:dyDescent="0.3">
      <c r="A47" t="s">
        <v>170</v>
      </c>
      <c r="B47" t="s">
        <v>136</v>
      </c>
      <c r="C47">
        <v>17</v>
      </c>
      <c r="D47" t="s">
        <v>90</v>
      </c>
      <c r="E47" t="s">
        <v>171</v>
      </c>
      <c r="F47" t="s">
        <v>79</v>
      </c>
      <c r="G47" t="s">
        <v>23</v>
      </c>
      <c r="H47">
        <v>20</v>
      </c>
      <c r="I47">
        <v>4</v>
      </c>
      <c r="J47">
        <v>3</v>
      </c>
      <c r="K47">
        <v>1</v>
      </c>
      <c r="L47">
        <v>5</v>
      </c>
      <c r="M47">
        <v>9</v>
      </c>
      <c r="N47" t="s">
        <v>42</v>
      </c>
      <c r="O47" t="s">
        <v>69</v>
      </c>
      <c r="P47" t="s">
        <v>26</v>
      </c>
      <c r="Q47">
        <v>1000000</v>
      </c>
      <c r="R47" t="s">
        <v>126</v>
      </c>
      <c r="S47" s="4">
        <v>46111</v>
      </c>
      <c r="T47" s="5" t="str">
        <f t="shared" si="0"/>
        <v>2026-03</v>
      </c>
    </row>
    <row r="48" spans="1:20" x14ac:dyDescent="0.3">
      <c r="A48" t="s">
        <v>172</v>
      </c>
      <c r="B48" t="s">
        <v>173</v>
      </c>
      <c r="C48">
        <v>26</v>
      </c>
      <c r="D48" t="s">
        <v>54</v>
      </c>
      <c r="E48" t="s">
        <v>174</v>
      </c>
      <c r="F48" t="s">
        <v>32</v>
      </c>
      <c r="G48" t="s">
        <v>23</v>
      </c>
      <c r="H48">
        <v>37</v>
      </c>
      <c r="I48">
        <v>5</v>
      </c>
      <c r="J48">
        <v>5</v>
      </c>
      <c r="K48">
        <v>4</v>
      </c>
      <c r="L48">
        <v>4</v>
      </c>
      <c r="M48">
        <v>9</v>
      </c>
      <c r="N48" t="s">
        <v>42</v>
      </c>
      <c r="O48" t="s">
        <v>34</v>
      </c>
      <c r="P48" t="s">
        <v>108</v>
      </c>
      <c r="Q48">
        <v>100000</v>
      </c>
      <c r="R48" t="s">
        <v>143</v>
      </c>
      <c r="S48" s="4">
        <v>46177</v>
      </c>
      <c r="T48" s="5" t="str">
        <f t="shared" si="0"/>
        <v>2026-06</v>
      </c>
    </row>
    <row r="49" spans="1:20" x14ac:dyDescent="0.3">
      <c r="A49" t="s">
        <v>175</v>
      </c>
      <c r="B49" t="s">
        <v>176</v>
      </c>
      <c r="C49">
        <v>47</v>
      </c>
      <c r="D49" t="s">
        <v>30</v>
      </c>
      <c r="E49" t="s">
        <v>55</v>
      </c>
      <c r="F49" t="s">
        <v>56</v>
      </c>
      <c r="G49" t="s">
        <v>41</v>
      </c>
      <c r="H49">
        <v>31</v>
      </c>
      <c r="I49">
        <v>1</v>
      </c>
      <c r="J49">
        <v>4</v>
      </c>
      <c r="K49">
        <v>1</v>
      </c>
      <c r="L49">
        <v>5</v>
      </c>
      <c r="M49">
        <v>8</v>
      </c>
      <c r="N49" t="s">
        <v>24</v>
      </c>
      <c r="O49" t="s">
        <v>34</v>
      </c>
      <c r="P49" t="s">
        <v>44</v>
      </c>
      <c r="Q49">
        <v>100000</v>
      </c>
      <c r="R49" t="s">
        <v>97</v>
      </c>
      <c r="S49" s="4">
        <v>46090</v>
      </c>
      <c r="T49" s="5" t="str">
        <f t="shared" si="0"/>
        <v>2026-03</v>
      </c>
    </row>
    <row r="50" spans="1:20" x14ac:dyDescent="0.3">
      <c r="A50" t="s">
        <v>177</v>
      </c>
      <c r="B50" t="s">
        <v>86</v>
      </c>
      <c r="C50">
        <v>38</v>
      </c>
      <c r="D50" t="s">
        <v>20</v>
      </c>
      <c r="E50" t="s">
        <v>160</v>
      </c>
      <c r="F50" t="s">
        <v>161</v>
      </c>
      <c r="G50" t="s">
        <v>41</v>
      </c>
      <c r="H50">
        <v>26</v>
      </c>
      <c r="I50">
        <v>1</v>
      </c>
      <c r="J50">
        <v>2</v>
      </c>
      <c r="K50">
        <v>3</v>
      </c>
      <c r="L50">
        <v>5</v>
      </c>
      <c r="M50">
        <v>10</v>
      </c>
      <c r="N50" t="s">
        <v>42</v>
      </c>
      <c r="O50" t="s">
        <v>43</v>
      </c>
      <c r="P50" t="s">
        <v>51</v>
      </c>
      <c r="Q50">
        <v>100000</v>
      </c>
      <c r="R50" t="s">
        <v>143</v>
      </c>
      <c r="S50" s="4">
        <v>46034</v>
      </c>
      <c r="T50" s="5" t="str">
        <f t="shared" si="0"/>
        <v>2026-01</v>
      </c>
    </row>
    <row r="51" spans="1:20" x14ac:dyDescent="0.3">
      <c r="A51" t="s">
        <v>178</v>
      </c>
      <c r="B51" t="s">
        <v>179</v>
      </c>
      <c r="C51">
        <v>63</v>
      </c>
      <c r="D51" t="s">
        <v>83</v>
      </c>
      <c r="E51" t="s">
        <v>156</v>
      </c>
      <c r="F51" t="s">
        <v>56</v>
      </c>
      <c r="G51" t="s">
        <v>41</v>
      </c>
      <c r="H51">
        <v>10</v>
      </c>
      <c r="I51">
        <v>3</v>
      </c>
      <c r="J51">
        <v>4</v>
      </c>
      <c r="K51">
        <v>3</v>
      </c>
      <c r="L51">
        <v>5</v>
      </c>
      <c r="M51">
        <v>3</v>
      </c>
      <c r="N51" t="s">
        <v>33</v>
      </c>
      <c r="O51" t="s">
        <v>50</v>
      </c>
      <c r="P51" t="s">
        <v>26</v>
      </c>
      <c r="Q51">
        <v>500000</v>
      </c>
      <c r="R51" t="s">
        <v>36</v>
      </c>
      <c r="S51" s="4">
        <v>46140</v>
      </c>
      <c r="T51" s="5" t="str">
        <f t="shared" si="0"/>
        <v>2026-04</v>
      </c>
    </row>
    <row r="52" spans="1:20" x14ac:dyDescent="0.3">
      <c r="A52" t="s">
        <v>180</v>
      </c>
      <c r="B52" t="s">
        <v>176</v>
      </c>
      <c r="C52">
        <v>19</v>
      </c>
      <c r="D52" t="s">
        <v>90</v>
      </c>
      <c r="E52" t="s">
        <v>152</v>
      </c>
      <c r="F52" t="s">
        <v>65</v>
      </c>
      <c r="G52" t="s">
        <v>41</v>
      </c>
      <c r="H52">
        <v>46</v>
      </c>
      <c r="I52">
        <v>4</v>
      </c>
      <c r="J52">
        <v>4</v>
      </c>
      <c r="K52">
        <v>2</v>
      </c>
      <c r="L52">
        <v>5</v>
      </c>
      <c r="M52">
        <v>8</v>
      </c>
      <c r="N52" t="s">
        <v>24</v>
      </c>
      <c r="O52" t="s">
        <v>107</v>
      </c>
      <c r="P52" t="s">
        <v>26</v>
      </c>
      <c r="Q52">
        <v>250000</v>
      </c>
      <c r="R52" t="s">
        <v>97</v>
      </c>
      <c r="S52" s="4">
        <v>46160</v>
      </c>
      <c r="T52" s="5" t="str">
        <f t="shared" si="0"/>
        <v>2026-05</v>
      </c>
    </row>
    <row r="53" spans="1:20" x14ac:dyDescent="0.3">
      <c r="A53" t="s">
        <v>181</v>
      </c>
      <c r="B53" t="s">
        <v>110</v>
      </c>
      <c r="C53">
        <v>31</v>
      </c>
      <c r="D53" t="s">
        <v>54</v>
      </c>
      <c r="E53" t="s">
        <v>115</v>
      </c>
      <c r="F53" t="s">
        <v>22</v>
      </c>
      <c r="G53" t="s">
        <v>23</v>
      </c>
      <c r="H53">
        <v>22</v>
      </c>
      <c r="I53">
        <v>4</v>
      </c>
      <c r="J53">
        <v>3</v>
      </c>
      <c r="K53">
        <v>4</v>
      </c>
      <c r="L53">
        <v>2</v>
      </c>
      <c r="M53">
        <v>8</v>
      </c>
      <c r="N53" t="s">
        <v>24</v>
      </c>
      <c r="O53" t="s">
        <v>50</v>
      </c>
      <c r="P53" t="s">
        <v>26</v>
      </c>
      <c r="Q53">
        <v>250000</v>
      </c>
      <c r="R53" t="s">
        <v>62</v>
      </c>
      <c r="S53" s="4">
        <v>46054</v>
      </c>
      <c r="T53" s="5" t="str">
        <f t="shared" si="0"/>
        <v>2026-02</v>
      </c>
    </row>
    <row r="54" spans="1:20" x14ac:dyDescent="0.3">
      <c r="A54" t="s">
        <v>182</v>
      </c>
      <c r="B54" t="s">
        <v>183</v>
      </c>
      <c r="C54">
        <v>42</v>
      </c>
      <c r="D54" t="s">
        <v>20</v>
      </c>
      <c r="E54" t="s">
        <v>49</v>
      </c>
      <c r="F54" t="s">
        <v>49</v>
      </c>
      <c r="G54" t="s">
        <v>41</v>
      </c>
      <c r="H54">
        <v>24</v>
      </c>
      <c r="I54">
        <v>3</v>
      </c>
      <c r="J54">
        <v>4</v>
      </c>
      <c r="K54">
        <v>5</v>
      </c>
      <c r="L54">
        <v>3</v>
      </c>
      <c r="M54">
        <v>5</v>
      </c>
      <c r="N54" t="s">
        <v>33</v>
      </c>
      <c r="O54" t="s">
        <v>107</v>
      </c>
      <c r="P54" t="s">
        <v>35</v>
      </c>
      <c r="Q54">
        <v>500000</v>
      </c>
      <c r="R54" t="s">
        <v>57</v>
      </c>
      <c r="S54" s="4">
        <v>46119</v>
      </c>
      <c r="T54" s="5" t="str">
        <f t="shared" si="0"/>
        <v>2026-04</v>
      </c>
    </row>
    <row r="55" spans="1:20" x14ac:dyDescent="0.3">
      <c r="A55" t="s">
        <v>184</v>
      </c>
      <c r="B55" t="s">
        <v>147</v>
      </c>
      <c r="C55">
        <v>55</v>
      </c>
      <c r="D55" t="s">
        <v>83</v>
      </c>
      <c r="E55" t="s">
        <v>49</v>
      </c>
      <c r="F55" t="s">
        <v>49</v>
      </c>
      <c r="G55" t="s">
        <v>23</v>
      </c>
      <c r="H55">
        <v>32</v>
      </c>
      <c r="I55">
        <v>1</v>
      </c>
      <c r="J55">
        <v>5</v>
      </c>
      <c r="K55">
        <v>3</v>
      </c>
      <c r="L55">
        <v>3</v>
      </c>
      <c r="M55">
        <v>1</v>
      </c>
      <c r="N55" t="s">
        <v>33</v>
      </c>
      <c r="O55" t="s">
        <v>69</v>
      </c>
      <c r="P55" t="s">
        <v>44</v>
      </c>
      <c r="Q55">
        <v>2000000</v>
      </c>
      <c r="R55" t="s">
        <v>57</v>
      </c>
      <c r="S55" s="4">
        <v>46043</v>
      </c>
      <c r="T55" s="5" t="str">
        <f t="shared" si="0"/>
        <v>2026-01</v>
      </c>
    </row>
    <row r="56" spans="1:20" x14ac:dyDescent="0.3">
      <c r="A56" t="s">
        <v>185</v>
      </c>
      <c r="B56" t="s">
        <v>86</v>
      </c>
      <c r="C56">
        <v>23</v>
      </c>
      <c r="D56" t="s">
        <v>90</v>
      </c>
      <c r="E56" t="s">
        <v>118</v>
      </c>
      <c r="F56" t="s">
        <v>79</v>
      </c>
      <c r="G56" t="s">
        <v>41</v>
      </c>
      <c r="H56">
        <v>7</v>
      </c>
      <c r="I56">
        <v>2</v>
      </c>
      <c r="J56">
        <v>1</v>
      </c>
      <c r="K56">
        <v>1</v>
      </c>
      <c r="L56">
        <v>1</v>
      </c>
      <c r="M56">
        <v>7</v>
      </c>
      <c r="N56" t="s">
        <v>24</v>
      </c>
      <c r="O56" t="s">
        <v>34</v>
      </c>
      <c r="P56" t="s">
        <v>26</v>
      </c>
      <c r="Q56">
        <v>1000000</v>
      </c>
      <c r="R56" t="s">
        <v>186</v>
      </c>
      <c r="S56" s="4">
        <v>46164</v>
      </c>
      <c r="T56" s="5" t="str">
        <f t="shared" si="0"/>
        <v>2026-05</v>
      </c>
    </row>
    <row r="57" spans="1:20" x14ac:dyDescent="0.3">
      <c r="A57" t="s">
        <v>187</v>
      </c>
      <c r="B57" t="s">
        <v>136</v>
      </c>
      <c r="C57">
        <v>62</v>
      </c>
      <c r="D57" t="s">
        <v>83</v>
      </c>
      <c r="E57" t="s">
        <v>39</v>
      </c>
      <c r="F57" t="s">
        <v>40</v>
      </c>
      <c r="G57" t="s">
        <v>23</v>
      </c>
      <c r="H57">
        <v>2</v>
      </c>
      <c r="I57">
        <v>4</v>
      </c>
      <c r="J57">
        <v>4</v>
      </c>
      <c r="K57">
        <v>1</v>
      </c>
      <c r="L57">
        <v>2</v>
      </c>
      <c r="M57">
        <v>2</v>
      </c>
      <c r="N57" t="s">
        <v>33</v>
      </c>
      <c r="O57" t="s">
        <v>34</v>
      </c>
      <c r="P57" t="s">
        <v>26</v>
      </c>
      <c r="Q57">
        <v>500000</v>
      </c>
      <c r="R57" t="s">
        <v>80</v>
      </c>
      <c r="S57" s="4">
        <v>46098</v>
      </c>
      <c r="T57" s="5" t="str">
        <f t="shared" si="0"/>
        <v>2026-03</v>
      </c>
    </row>
    <row r="58" spans="1:20" x14ac:dyDescent="0.3">
      <c r="A58" t="s">
        <v>188</v>
      </c>
      <c r="B58" t="s">
        <v>189</v>
      </c>
      <c r="C58">
        <v>61</v>
      </c>
      <c r="D58" t="s">
        <v>83</v>
      </c>
      <c r="E58" t="s">
        <v>60</v>
      </c>
      <c r="F58" t="s">
        <v>61</v>
      </c>
      <c r="G58" t="s">
        <v>23</v>
      </c>
      <c r="H58">
        <v>12</v>
      </c>
      <c r="I58">
        <v>1</v>
      </c>
      <c r="J58">
        <v>2</v>
      </c>
      <c r="K58">
        <v>1</v>
      </c>
      <c r="L58">
        <v>1</v>
      </c>
      <c r="M58">
        <v>10</v>
      </c>
      <c r="N58" t="s">
        <v>42</v>
      </c>
      <c r="O58" t="s">
        <v>43</v>
      </c>
      <c r="P58" t="s">
        <v>44</v>
      </c>
      <c r="Q58">
        <v>500000</v>
      </c>
      <c r="R58" t="s">
        <v>97</v>
      </c>
      <c r="S58" s="4">
        <v>46183</v>
      </c>
      <c r="T58" s="5" t="str">
        <f t="shared" si="0"/>
        <v>2026-06</v>
      </c>
    </row>
    <row r="59" spans="1:20" x14ac:dyDescent="0.3">
      <c r="A59" t="s">
        <v>190</v>
      </c>
      <c r="B59" t="s">
        <v>38</v>
      </c>
      <c r="C59">
        <v>65</v>
      </c>
      <c r="D59" t="s">
        <v>83</v>
      </c>
      <c r="E59" t="s">
        <v>115</v>
      </c>
      <c r="F59" t="s">
        <v>22</v>
      </c>
      <c r="G59" t="s">
        <v>23</v>
      </c>
      <c r="H59">
        <v>47</v>
      </c>
      <c r="I59">
        <v>1</v>
      </c>
      <c r="J59">
        <v>1</v>
      </c>
      <c r="K59">
        <v>3</v>
      </c>
      <c r="L59">
        <v>1</v>
      </c>
      <c r="M59">
        <v>5</v>
      </c>
      <c r="N59" t="s">
        <v>33</v>
      </c>
      <c r="O59" t="s">
        <v>50</v>
      </c>
      <c r="P59" t="s">
        <v>108</v>
      </c>
      <c r="Q59">
        <v>100000</v>
      </c>
      <c r="R59" t="s">
        <v>121</v>
      </c>
      <c r="S59" s="4">
        <v>46181</v>
      </c>
      <c r="T59" s="5" t="str">
        <f t="shared" si="0"/>
        <v>2026-06</v>
      </c>
    </row>
    <row r="60" spans="1:20" x14ac:dyDescent="0.3">
      <c r="A60" t="s">
        <v>191</v>
      </c>
      <c r="B60" t="s">
        <v>192</v>
      </c>
      <c r="C60">
        <v>45</v>
      </c>
      <c r="D60" t="s">
        <v>30</v>
      </c>
      <c r="E60" t="s">
        <v>72</v>
      </c>
      <c r="F60" t="s">
        <v>73</v>
      </c>
      <c r="G60" t="s">
        <v>41</v>
      </c>
      <c r="H60">
        <v>9</v>
      </c>
      <c r="I60">
        <v>3</v>
      </c>
      <c r="J60">
        <v>1</v>
      </c>
      <c r="K60">
        <v>4</v>
      </c>
      <c r="L60">
        <v>1</v>
      </c>
      <c r="M60">
        <v>7</v>
      </c>
      <c r="N60" t="s">
        <v>24</v>
      </c>
      <c r="O60" t="s">
        <v>25</v>
      </c>
      <c r="P60" t="s">
        <v>108</v>
      </c>
      <c r="Q60">
        <v>500000</v>
      </c>
      <c r="R60" t="s">
        <v>92</v>
      </c>
      <c r="S60" s="4">
        <v>46115</v>
      </c>
      <c r="T60" s="5" t="str">
        <f t="shared" si="0"/>
        <v>2026-04</v>
      </c>
    </row>
    <row r="61" spans="1:20" x14ac:dyDescent="0.3">
      <c r="A61" t="s">
        <v>193</v>
      </c>
      <c r="B61" t="s">
        <v>159</v>
      </c>
      <c r="C61">
        <v>58</v>
      </c>
      <c r="D61" t="s">
        <v>83</v>
      </c>
      <c r="E61" t="s">
        <v>78</v>
      </c>
      <c r="F61" t="s">
        <v>79</v>
      </c>
      <c r="G61" t="s">
        <v>41</v>
      </c>
      <c r="H61">
        <v>19</v>
      </c>
      <c r="I61">
        <v>1</v>
      </c>
      <c r="J61">
        <v>2</v>
      </c>
      <c r="K61">
        <v>1</v>
      </c>
      <c r="L61">
        <v>1</v>
      </c>
      <c r="M61">
        <v>0</v>
      </c>
      <c r="N61" t="s">
        <v>33</v>
      </c>
      <c r="O61" t="s">
        <v>25</v>
      </c>
      <c r="P61" t="s">
        <v>44</v>
      </c>
      <c r="Q61">
        <v>2000000</v>
      </c>
      <c r="R61" t="s">
        <v>66</v>
      </c>
      <c r="S61" s="4">
        <v>46170</v>
      </c>
      <c r="T61" s="5" t="str">
        <f t="shared" si="0"/>
        <v>2026-05</v>
      </c>
    </row>
    <row r="62" spans="1:20" x14ac:dyDescent="0.3">
      <c r="A62" t="s">
        <v>194</v>
      </c>
      <c r="B62" t="s">
        <v>138</v>
      </c>
      <c r="C62">
        <v>54</v>
      </c>
      <c r="D62" t="s">
        <v>30</v>
      </c>
      <c r="E62" t="s">
        <v>174</v>
      </c>
      <c r="F62" t="s">
        <v>32</v>
      </c>
      <c r="G62" t="s">
        <v>23</v>
      </c>
      <c r="H62">
        <v>14</v>
      </c>
      <c r="I62">
        <v>1</v>
      </c>
      <c r="J62">
        <v>1</v>
      </c>
      <c r="K62">
        <v>3</v>
      </c>
      <c r="L62">
        <v>3</v>
      </c>
      <c r="M62">
        <v>2</v>
      </c>
      <c r="N62" t="s">
        <v>33</v>
      </c>
      <c r="O62" t="s">
        <v>43</v>
      </c>
      <c r="P62" t="s">
        <v>44</v>
      </c>
      <c r="Q62">
        <v>500000</v>
      </c>
      <c r="R62" t="s">
        <v>57</v>
      </c>
      <c r="S62" s="4">
        <v>46072</v>
      </c>
      <c r="T62" s="5" t="str">
        <f t="shared" si="0"/>
        <v>2026-02</v>
      </c>
    </row>
    <row r="63" spans="1:20" x14ac:dyDescent="0.3">
      <c r="A63" t="s">
        <v>195</v>
      </c>
      <c r="B63" t="s">
        <v>38</v>
      </c>
      <c r="C63">
        <v>57</v>
      </c>
      <c r="D63" t="s">
        <v>83</v>
      </c>
      <c r="E63" t="s">
        <v>152</v>
      </c>
      <c r="F63" t="s">
        <v>65</v>
      </c>
      <c r="G63" t="s">
        <v>23</v>
      </c>
      <c r="H63">
        <v>12</v>
      </c>
      <c r="I63">
        <v>5</v>
      </c>
      <c r="J63">
        <v>1</v>
      </c>
      <c r="K63">
        <v>2</v>
      </c>
      <c r="L63">
        <v>3</v>
      </c>
      <c r="M63">
        <v>9</v>
      </c>
      <c r="N63" t="s">
        <v>42</v>
      </c>
      <c r="O63" t="s">
        <v>34</v>
      </c>
      <c r="P63" t="s">
        <v>26</v>
      </c>
      <c r="Q63">
        <v>1000000</v>
      </c>
      <c r="R63" t="s">
        <v>143</v>
      </c>
      <c r="S63" s="4">
        <v>46203</v>
      </c>
      <c r="T63" s="5" t="str">
        <f t="shared" si="0"/>
        <v>2026-06</v>
      </c>
    </row>
    <row r="64" spans="1:20" x14ac:dyDescent="0.3">
      <c r="A64" t="s">
        <v>196</v>
      </c>
      <c r="B64" t="s">
        <v>151</v>
      </c>
      <c r="C64">
        <v>38</v>
      </c>
      <c r="D64" t="s">
        <v>20</v>
      </c>
      <c r="E64" t="s">
        <v>118</v>
      </c>
      <c r="F64" t="s">
        <v>79</v>
      </c>
      <c r="G64" t="s">
        <v>41</v>
      </c>
      <c r="H64">
        <v>4</v>
      </c>
      <c r="I64">
        <v>2</v>
      </c>
      <c r="J64">
        <v>1</v>
      </c>
      <c r="K64">
        <v>3</v>
      </c>
      <c r="L64">
        <v>4</v>
      </c>
      <c r="M64">
        <v>1</v>
      </c>
      <c r="N64" t="s">
        <v>33</v>
      </c>
      <c r="O64" t="s">
        <v>69</v>
      </c>
      <c r="P64" t="s">
        <v>44</v>
      </c>
      <c r="Q64">
        <v>500000</v>
      </c>
      <c r="R64" t="s">
        <v>57</v>
      </c>
      <c r="S64" s="4">
        <v>46040</v>
      </c>
      <c r="T64" s="5" t="str">
        <f t="shared" si="0"/>
        <v>2026-01</v>
      </c>
    </row>
    <row r="65" spans="1:20" x14ac:dyDescent="0.3">
      <c r="A65" t="s">
        <v>197</v>
      </c>
      <c r="B65" t="s">
        <v>82</v>
      </c>
      <c r="C65">
        <v>52</v>
      </c>
      <c r="D65" t="s">
        <v>30</v>
      </c>
      <c r="E65" t="s">
        <v>124</v>
      </c>
      <c r="F65" t="s">
        <v>125</v>
      </c>
      <c r="G65" t="s">
        <v>41</v>
      </c>
      <c r="H65">
        <v>17</v>
      </c>
      <c r="I65">
        <v>1</v>
      </c>
      <c r="J65">
        <v>1</v>
      </c>
      <c r="K65">
        <v>5</v>
      </c>
      <c r="L65">
        <v>4</v>
      </c>
      <c r="M65">
        <v>7</v>
      </c>
      <c r="N65" t="s">
        <v>24</v>
      </c>
      <c r="O65" t="s">
        <v>50</v>
      </c>
      <c r="P65" t="s">
        <v>108</v>
      </c>
      <c r="Q65">
        <v>50000</v>
      </c>
      <c r="R65" t="s">
        <v>186</v>
      </c>
      <c r="S65" s="4">
        <v>46034</v>
      </c>
      <c r="T65" s="5" t="str">
        <f t="shared" si="0"/>
        <v>2026-01</v>
      </c>
    </row>
    <row r="66" spans="1:20" x14ac:dyDescent="0.3">
      <c r="A66" t="s">
        <v>198</v>
      </c>
      <c r="B66" t="s">
        <v>199</v>
      </c>
      <c r="C66">
        <v>60</v>
      </c>
      <c r="D66" t="s">
        <v>83</v>
      </c>
      <c r="E66" t="s">
        <v>200</v>
      </c>
      <c r="F66" t="s">
        <v>56</v>
      </c>
      <c r="G66" t="s">
        <v>41</v>
      </c>
      <c r="H66">
        <v>38</v>
      </c>
      <c r="I66">
        <v>2</v>
      </c>
      <c r="J66">
        <v>2</v>
      </c>
      <c r="K66">
        <v>2</v>
      </c>
      <c r="L66">
        <v>5</v>
      </c>
      <c r="M66">
        <v>4</v>
      </c>
      <c r="N66" t="s">
        <v>33</v>
      </c>
      <c r="O66" t="s">
        <v>43</v>
      </c>
      <c r="P66" t="s">
        <v>44</v>
      </c>
      <c r="Q66">
        <v>2000000</v>
      </c>
      <c r="R66" t="s">
        <v>36</v>
      </c>
      <c r="S66" s="4">
        <v>46192</v>
      </c>
      <c r="T66" s="5" t="str">
        <f t="shared" ref="T66:T129" si="1">TEXT(S66,"yyyy-mm")</f>
        <v>2026-06</v>
      </c>
    </row>
    <row r="67" spans="1:20" x14ac:dyDescent="0.3">
      <c r="A67" t="s">
        <v>201</v>
      </c>
      <c r="B67" t="s">
        <v>38</v>
      </c>
      <c r="C67">
        <v>46</v>
      </c>
      <c r="D67" t="s">
        <v>30</v>
      </c>
      <c r="E67" t="s">
        <v>124</v>
      </c>
      <c r="F67" t="s">
        <v>125</v>
      </c>
      <c r="G67" t="s">
        <v>41</v>
      </c>
      <c r="H67">
        <v>11</v>
      </c>
      <c r="I67">
        <v>4</v>
      </c>
      <c r="J67">
        <v>2</v>
      </c>
      <c r="K67">
        <v>3</v>
      </c>
      <c r="L67">
        <v>3</v>
      </c>
      <c r="M67">
        <v>0</v>
      </c>
      <c r="N67" t="s">
        <v>33</v>
      </c>
      <c r="O67" t="s">
        <v>43</v>
      </c>
      <c r="P67" t="s">
        <v>51</v>
      </c>
      <c r="Q67">
        <v>2000000</v>
      </c>
      <c r="R67" t="s">
        <v>121</v>
      </c>
      <c r="S67" s="4">
        <v>46081</v>
      </c>
      <c r="T67" s="5" t="str">
        <f t="shared" si="1"/>
        <v>2026-02</v>
      </c>
    </row>
    <row r="68" spans="1:20" x14ac:dyDescent="0.3">
      <c r="A68" t="s">
        <v>202</v>
      </c>
      <c r="B68" t="s">
        <v>68</v>
      </c>
      <c r="C68">
        <v>37</v>
      </c>
      <c r="D68" t="s">
        <v>20</v>
      </c>
      <c r="E68" t="s">
        <v>203</v>
      </c>
      <c r="F68" t="s">
        <v>32</v>
      </c>
      <c r="G68" t="s">
        <v>41</v>
      </c>
      <c r="H68">
        <v>30</v>
      </c>
      <c r="I68">
        <v>3</v>
      </c>
      <c r="J68">
        <v>2</v>
      </c>
      <c r="K68">
        <v>4</v>
      </c>
      <c r="L68">
        <v>2</v>
      </c>
      <c r="M68">
        <v>4</v>
      </c>
      <c r="N68" t="s">
        <v>33</v>
      </c>
      <c r="O68" t="s">
        <v>107</v>
      </c>
      <c r="P68" t="s">
        <v>44</v>
      </c>
      <c r="Q68">
        <v>1000000</v>
      </c>
      <c r="R68" t="s">
        <v>57</v>
      </c>
      <c r="S68" s="4">
        <v>46097</v>
      </c>
      <c r="T68" s="5" t="str">
        <f t="shared" si="1"/>
        <v>2026-03</v>
      </c>
    </row>
    <row r="69" spans="1:20" x14ac:dyDescent="0.3">
      <c r="A69" t="s">
        <v>204</v>
      </c>
      <c r="B69" t="s">
        <v>120</v>
      </c>
      <c r="C69">
        <v>59</v>
      </c>
      <c r="D69" t="s">
        <v>83</v>
      </c>
      <c r="E69" t="s">
        <v>171</v>
      </c>
      <c r="F69" t="s">
        <v>79</v>
      </c>
      <c r="G69" t="s">
        <v>41</v>
      </c>
      <c r="H69">
        <v>7</v>
      </c>
      <c r="I69">
        <v>5</v>
      </c>
      <c r="J69">
        <v>2</v>
      </c>
      <c r="K69">
        <v>2</v>
      </c>
      <c r="L69">
        <v>2</v>
      </c>
      <c r="M69">
        <v>4</v>
      </c>
      <c r="N69" t="s">
        <v>33</v>
      </c>
      <c r="O69" t="s">
        <v>107</v>
      </c>
      <c r="P69" t="s">
        <v>44</v>
      </c>
      <c r="Q69">
        <v>50000</v>
      </c>
      <c r="R69" t="s">
        <v>36</v>
      </c>
      <c r="S69" s="4">
        <v>46043</v>
      </c>
      <c r="T69" s="5" t="str">
        <f t="shared" si="1"/>
        <v>2026-01</v>
      </c>
    </row>
    <row r="70" spans="1:20" x14ac:dyDescent="0.3">
      <c r="A70" t="s">
        <v>205</v>
      </c>
      <c r="B70" t="s">
        <v>173</v>
      </c>
      <c r="C70">
        <v>60</v>
      </c>
      <c r="D70" t="s">
        <v>83</v>
      </c>
      <c r="E70" t="s">
        <v>78</v>
      </c>
      <c r="F70" t="s">
        <v>79</v>
      </c>
      <c r="G70" t="s">
        <v>23</v>
      </c>
      <c r="H70">
        <v>35</v>
      </c>
      <c r="I70">
        <v>1</v>
      </c>
      <c r="J70">
        <v>3</v>
      </c>
      <c r="K70">
        <v>2</v>
      </c>
      <c r="L70">
        <v>1</v>
      </c>
      <c r="M70">
        <v>10</v>
      </c>
      <c r="N70" t="s">
        <v>42</v>
      </c>
      <c r="O70" t="s">
        <v>34</v>
      </c>
      <c r="P70" t="s">
        <v>44</v>
      </c>
      <c r="Q70">
        <v>1000000</v>
      </c>
      <c r="R70" t="s">
        <v>126</v>
      </c>
      <c r="S70" s="4">
        <v>46082</v>
      </c>
      <c r="T70" s="5" t="str">
        <f t="shared" si="1"/>
        <v>2026-03</v>
      </c>
    </row>
    <row r="71" spans="1:20" x14ac:dyDescent="0.3">
      <c r="A71" t="s">
        <v>206</v>
      </c>
      <c r="B71" t="s">
        <v>86</v>
      </c>
      <c r="C71">
        <v>22</v>
      </c>
      <c r="D71" t="s">
        <v>90</v>
      </c>
      <c r="E71" t="s">
        <v>21</v>
      </c>
      <c r="F71" t="s">
        <v>22</v>
      </c>
      <c r="G71" t="s">
        <v>23</v>
      </c>
      <c r="H71">
        <v>1</v>
      </c>
      <c r="I71">
        <v>4</v>
      </c>
      <c r="J71">
        <v>4</v>
      </c>
      <c r="K71">
        <v>4</v>
      </c>
      <c r="L71">
        <v>2</v>
      </c>
      <c r="M71">
        <v>2</v>
      </c>
      <c r="N71" t="s">
        <v>33</v>
      </c>
      <c r="O71" t="s">
        <v>50</v>
      </c>
      <c r="P71" t="s">
        <v>26</v>
      </c>
      <c r="Q71">
        <v>250000</v>
      </c>
      <c r="R71" t="s">
        <v>87</v>
      </c>
      <c r="S71" s="4">
        <v>46048</v>
      </c>
      <c r="T71" s="5" t="str">
        <f t="shared" si="1"/>
        <v>2026-01</v>
      </c>
    </row>
    <row r="72" spans="1:20" x14ac:dyDescent="0.3">
      <c r="A72" t="s">
        <v>207</v>
      </c>
      <c r="B72" t="s">
        <v>99</v>
      </c>
      <c r="C72">
        <v>37</v>
      </c>
      <c r="D72" t="s">
        <v>20</v>
      </c>
      <c r="E72" t="s">
        <v>39</v>
      </c>
      <c r="F72" t="s">
        <v>40</v>
      </c>
      <c r="G72" t="s">
        <v>23</v>
      </c>
      <c r="H72">
        <v>38</v>
      </c>
      <c r="I72">
        <v>5</v>
      </c>
      <c r="J72">
        <v>2</v>
      </c>
      <c r="K72">
        <v>1</v>
      </c>
      <c r="L72">
        <v>2</v>
      </c>
      <c r="M72">
        <v>9</v>
      </c>
      <c r="N72" t="s">
        <v>42</v>
      </c>
      <c r="O72" t="s">
        <v>34</v>
      </c>
      <c r="P72" t="s">
        <v>51</v>
      </c>
      <c r="Q72">
        <v>5000000</v>
      </c>
      <c r="R72" t="s">
        <v>208</v>
      </c>
      <c r="S72" s="4">
        <v>46120</v>
      </c>
      <c r="T72" s="5" t="str">
        <f t="shared" si="1"/>
        <v>2026-04</v>
      </c>
    </row>
    <row r="73" spans="1:20" x14ac:dyDescent="0.3">
      <c r="A73" t="s">
        <v>209</v>
      </c>
      <c r="B73" t="s">
        <v>145</v>
      </c>
      <c r="C73">
        <v>32</v>
      </c>
      <c r="D73" t="s">
        <v>54</v>
      </c>
      <c r="E73" t="s">
        <v>163</v>
      </c>
      <c r="F73" t="s">
        <v>161</v>
      </c>
      <c r="G73" t="s">
        <v>41</v>
      </c>
      <c r="H73">
        <v>23</v>
      </c>
      <c r="I73">
        <v>4</v>
      </c>
      <c r="J73">
        <v>2</v>
      </c>
      <c r="K73">
        <v>1</v>
      </c>
      <c r="L73">
        <v>2</v>
      </c>
      <c r="M73">
        <v>7</v>
      </c>
      <c r="N73" t="s">
        <v>24</v>
      </c>
      <c r="O73" t="s">
        <v>25</v>
      </c>
      <c r="P73" t="s">
        <v>51</v>
      </c>
      <c r="Q73">
        <v>1000000</v>
      </c>
      <c r="R73" t="s">
        <v>27</v>
      </c>
      <c r="S73" s="4">
        <v>46094</v>
      </c>
      <c r="T73" s="5" t="str">
        <f t="shared" si="1"/>
        <v>2026-03</v>
      </c>
    </row>
    <row r="74" spans="1:20" x14ac:dyDescent="0.3">
      <c r="A74" t="s">
        <v>210</v>
      </c>
      <c r="B74" t="s">
        <v>183</v>
      </c>
      <c r="C74">
        <v>61</v>
      </c>
      <c r="D74" t="s">
        <v>83</v>
      </c>
      <c r="E74" t="s">
        <v>105</v>
      </c>
      <c r="F74" t="s">
        <v>106</v>
      </c>
      <c r="G74" t="s">
        <v>41</v>
      </c>
      <c r="H74">
        <v>23</v>
      </c>
      <c r="I74">
        <v>5</v>
      </c>
      <c r="J74">
        <v>2</v>
      </c>
      <c r="K74">
        <v>1</v>
      </c>
      <c r="L74">
        <v>4</v>
      </c>
      <c r="M74">
        <v>1</v>
      </c>
      <c r="N74" t="s">
        <v>33</v>
      </c>
      <c r="O74" t="s">
        <v>69</v>
      </c>
      <c r="P74" t="s">
        <v>108</v>
      </c>
      <c r="Q74">
        <v>5000000</v>
      </c>
      <c r="R74" t="s">
        <v>57</v>
      </c>
      <c r="S74" s="4">
        <v>46139</v>
      </c>
      <c r="T74" s="5" t="str">
        <f t="shared" si="1"/>
        <v>2026-04</v>
      </c>
    </row>
    <row r="75" spans="1:20" x14ac:dyDescent="0.3">
      <c r="A75" t="s">
        <v>211</v>
      </c>
      <c r="B75" t="s">
        <v>179</v>
      </c>
      <c r="C75">
        <v>29</v>
      </c>
      <c r="D75" t="s">
        <v>54</v>
      </c>
      <c r="E75" t="s">
        <v>163</v>
      </c>
      <c r="F75" t="s">
        <v>161</v>
      </c>
      <c r="G75" t="s">
        <v>41</v>
      </c>
      <c r="H75">
        <v>5</v>
      </c>
      <c r="I75">
        <v>4</v>
      </c>
      <c r="J75">
        <v>2</v>
      </c>
      <c r="K75">
        <v>1</v>
      </c>
      <c r="L75">
        <v>5</v>
      </c>
      <c r="M75">
        <v>10</v>
      </c>
      <c r="N75" t="s">
        <v>42</v>
      </c>
      <c r="O75" t="s">
        <v>107</v>
      </c>
      <c r="P75" t="s">
        <v>108</v>
      </c>
      <c r="Q75">
        <v>250000</v>
      </c>
      <c r="R75" t="s">
        <v>97</v>
      </c>
      <c r="S75" s="4">
        <v>46185</v>
      </c>
      <c r="T75" s="5" t="str">
        <f t="shared" si="1"/>
        <v>2026-06</v>
      </c>
    </row>
    <row r="76" spans="1:20" x14ac:dyDescent="0.3">
      <c r="A76" t="s">
        <v>212</v>
      </c>
      <c r="B76" t="s">
        <v>213</v>
      </c>
      <c r="C76">
        <v>60</v>
      </c>
      <c r="D76" t="s">
        <v>83</v>
      </c>
      <c r="E76" t="s">
        <v>105</v>
      </c>
      <c r="F76" t="s">
        <v>106</v>
      </c>
      <c r="G76" t="s">
        <v>23</v>
      </c>
      <c r="H76">
        <v>33</v>
      </c>
      <c r="I76">
        <v>3</v>
      </c>
      <c r="J76">
        <v>5</v>
      </c>
      <c r="K76">
        <v>1</v>
      </c>
      <c r="L76">
        <v>4</v>
      </c>
      <c r="M76">
        <v>1</v>
      </c>
      <c r="N76" t="s">
        <v>33</v>
      </c>
      <c r="O76" t="s">
        <v>25</v>
      </c>
      <c r="P76" t="s">
        <v>108</v>
      </c>
      <c r="Q76">
        <v>500000</v>
      </c>
      <c r="R76" t="s">
        <v>57</v>
      </c>
      <c r="S76" s="4">
        <v>46116</v>
      </c>
      <c r="T76" s="5" t="str">
        <f t="shared" si="1"/>
        <v>2026-04</v>
      </c>
    </row>
    <row r="77" spans="1:20" x14ac:dyDescent="0.3">
      <c r="A77" t="s">
        <v>214</v>
      </c>
      <c r="B77" t="s">
        <v>215</v>
      </c>
      <c r="C77">
        <v>63</v>
      </c>
      <c r="D77" t="s">
        <v>83</v>
      </c>
      <c r="E77" t="s">
        <v>64</v>
      </c>
      <c r="F77" t="s">
        <v>65</v>
      </c>
      <c r="G77" t="s">
        <v>23</v>
      </c>
      <c r="H77">
        <v>46</v>
      </c>
      <c r="I77">
        <v>5</v>
      </c>
      <c r="J77">
        <v>3</v>
      </c>
      <c r="K77">
        <v>5</v>
      </c>
      <c r="L77">
        <v>4</v>
      </c>
      <c r="M77">
        <v>7</v>
      </c>
      <c r="N77" t="s">
        <v>24</v>
      </c>
      <c r="O77" t="s">
        <v>107</v>
      </c>
      <c r="P77" t="s">
        <v>108</v>
      </c>
      <c r="Q77">
        <v>2000000</v>
      </c>
      <c r="R77" t="s">
        <v>92</v>
      </c>
      <c r="S77" s="4">
        <v>46064</v>
      </c>
      <c r="T77" s="5" t="str">
        <f t="shared" si="1"/>
        <v>2026-02</v>
      </c>
    </row>
    <row r="78" spans="1:20" x14ac:dyDescent="0.3">
      <c r="A78" t="s">
        <v>216</v>
      </c>
      <c r="B78" t="s">
        <v>217</v>
      </c>
      <c r="C78">
        <v>20</v>
      </c>
      <c r="D78" t="s">
        <v>90</v>
      </c>
      <c r="E78" t="s">
        <v>218</v>
      </c>
      <c r="F78" t="s">
        <v>161</v>
      </c>
      <c r="G78" t="s">
        <v>23</v>
      </c>
      <c r="H78">
        <v>14</v>
      </c>
      <c r="I78">
        <v>3</v>
      </c>
      <c r="J78">
        <v>2</v>
      </c>
      <c r="K78">
        <v>4</v>
      </c>
      <c r="L78">
        <v>5</v>
      </c>
      <c r="M78">
        <v>9</v>
      </c>
      <c r="N78" t="s">
        <v>42</v>
      </c>
      <c r="O78" t="s">
        <v>107</v>
      </c>
      <c r="P78" t="s">
        <v>35</v>
      </c>
      <c r="Q78">
        <v>50000</v>
      </c>
      <c r="R78" t="s">
        <v>126</v>
      </c>
      <c r="S78" s="4">
        <v>46117</v>
      </c>
      <c r="T78" s="5" t="str">
        <f t="shared" si="1"/>
        <v>2026-04</v>
      </c>
    </row>
    <row r="79" spans="1:20" x14ac:dyDescent="0.3">
      <c r="A79" t="s">
        <v>219</v>
      </c>
      <c r="B79" t="s">
        <v>220</v>
      </c>
      <c r="C79">
        <v>28</v>
      </c>
      <c r="D79" t="s">
        <v>54</v>
      </c>
      <c r="E79" t="s">
        <v>152</v>
      </c>
      <c r="F79" t="s">
        <v>65</v>
      </c>
      <c r="G79" t="s">
        <v>41</v>
      </c>
      <c r="H79">
        <v>7</v>
      </c>
      <c r="I79">
        <v>5</v>
      </c>
      <c r="J79">
        <v>3</v>
      </c>
      <c r="K79">
        <v>3</v>
      </c>
      <c r="L79">
        <v>3</v>
      </c>
      <c r="M79">
        <v>0</v>
      </c>
      <c r="N79" t="s">
        <v>33</v>
      </c>
      <c r="O79" t="s">
        <v>69</v>
      </c>
      <c r="P79" t="s">
        <v>51</v>
      </c>
      <c r="Q79">
        <v>1000000</v>
      </c>
      <c r="R79" t="s">
        <v>80</v>
      </c>
      <c r="S79" s="4">
        <v>46113</v>
      </c>
      <c r="T79" s="5" t="str">
        <f t="shared" si="1"/>
        <v>2026-04</v>
      </c>
    </row>
    <row r="80" spans="1:20" x14ac:dyDescent="0.3">
      <c r="A80" t="s">
        <v>221</v>
      </c>
      <c r="B80" t="s">
        <v>94</v>
      </c>
      <c r="C80">
        <v>20</v>
      </c>
      <c r="D80" t="s">
        <v>90</v>
      </c>
      <c r="E80" t="s">
        <v>21</v>
      </c>
      <c r="F80" t="s">
        <v>22</v>
      </c>
      <c r="G80" t="s">
        <v>41</v>
      </c>
      <c r="H80">
        <v>9</v>
      </c>
      <c r="I80">
        <v>2</v>
      </c>
      <c r="J80">
        <v>5</v>
      </c>
      <c r="K80">
        <v>2</v>
      </c>
      <c r="L80">
        <v>5</v>
      </c>
      <c r="M80">
        <v>4</v>
      </c>
      <c r="N80" t="s">
        <v>33</v>
      </c>
      <c r="O80" t="s">
        <v>69</v>
      </c>
      <c r="P80" t="s">
        <v>35</v>
      </c>
      <c r="Q80">
        <v>2000000</v>
      </c>
      <c r="R80" t="s">
        <v>87</v>
      </c>
      <c r="S80" s="4">
        <v>46076</v>
      </c>
      <c r="T80" s="5" t="str">
        <f t="shared" si="1"/>
        <v>2026-02</v>
      </c>
    </row>
    <row r="81" spans="1:20" x14ac:dyDescent="0.3">
      <c r="A81" t="s">
        <v>222</v>
      </c>
      <c r="B81" t="s">
        <v>223</v>
      </c>
      <c r="C81">
        <v>22</v>
      </c>
      <c r="D81" t="s">
        <v>90</v>
      </c>
      <c r="E81" t="s">
        <v>160</v>
      </c>
      <c r="F81" t="s">
        <v>161</v>
      </c>
      <c r="G81" t="s">
        <v>41</v>
      </c>
      <c r="H81">
        <v>47</v>
      </c>
      <c r="I81">
        <v>3</v>
      </c>
      <c r="J81">
        <v>3</v>
      </c>
      <c r="K81">
        <v>4</v>
      </c>
      <c r="L81">
        <v>3</v>
      </c>
      <c r="M81">
        <v>10</v>
      </c>
      <c r="N81" t="s">
        <v>42</v>
      </c>
      <c r="O81" t="s">
        <v>43</v>
      </c>
      <c r="P81" t="s">
        <v>51</v>
      </c>
      <c r="Q81">
        <v>100000</v>
      </c>
      <c r="R81" t="s">
        <v>97</v>
      </c>
      <c r="S81" s="4">
        <v>46194</v>
      </c>
      <c r="T81" s="5" t="str">
        <f t="shared" si="1"/>
        <v>2026-06</v>
      </c>
    </row>
    <row r="82" spans="1:20" x14ac:dyDescent="0.3">
      <c r="A82" t="s">
        <v>224</v>
      </c>
      <c r="B82" t="s">
        <v>110</v>
      </c>
      <c r="C82">
        <v>55</v>
      </c>
      <c r="D82" t="s">
        <v>83</v>
      </c>
      <c r="E82" t="s">
        <v>91</v>
      </c>
      <c r="F82" t="s">
        <v>73</v>
      </c>
      <c r="G82" t="s">
        <v>23</v>
      </c>
      <c r="H82">
        <v>41</v>
      </c>
      <c r="I82">
        <v>2</v>
      </c>
      <c r="J82">
        <v>1</v>
      </c>
      <c r="K82">
        <v>2</v>
      </c>
      <c r="L82">
        <v>1</v>
      </c>
      <c r="M82">
        <v>2</v>
      </c>
      <c r="N82" t="s">
        <v>33</v>
      </c>
      <c r="O82" t="s">
        <v>69</v>
      </c>
      <c r="P82" t="s">
        <v>35</v>
      </c>
      <c r="Q82">
        <v>100000</v>
      </c>
      <c r="R82" t="s">
        <v>57</v>
      </c>
      <c r="S82" s="4">
        <v>46091</v>
      </c>
      <c r="T82" s="5" t="str">
        <f t="shared" si="1"/>
        <v>2026-03</v>
      </c>
    </row>
    <row r="83" spans="1:20" x14ac:dyDescent="0.3">
      <c r="A83" t="s">
        <v>225</v>
      </c>
      <c r="B83" t="s">
        <v>77</v>
      </c>
      <c r="C83">
        <v>25</v>
      </c>
      <c r="D83" t="s">
        <v>54</v>
      </c>
      <c r="E83" t="s">
        <v>31</v>
      </c>
      <c r="F83" t="s">
        <v>32</v>
      </c>
      <c r="G83" t="s">
        <v>41</v>
      </c>
      <c r="H83">
        <v>24</v>
      </c>
      <c r="I83">
        <v>4</v>
      </c>
      <c r="J83">
        <v>4</v>
      </c>
      <c r="K83">
        <v>3</v>
      </c>
      <c r="L83">
        <v>2</v>
      </c>
      <c r="M83">
        <v>1</v>
      </c>
      <c r="N83" t="s">
        <v>33</v>
      </c>
      <c r="O83" t="s">
        <v>34</v>
      </c>
      <c r="P83" t="s">
        <v>108</v>
      </c>
      <c r="Q83">
        <v>2000000</v>
      </c>
      <c r="R83" t="s">
        <v>121</v>
      </c>
      <c r="S83" s="4">
        <v>46202</v>
      </c>
      <c r="T83" s="5" t="str">
        <f t="shared" si="1"/>
        <v>2026-06</v>
      </c>
    </row>
    <row r="84" spans="1:20" x14ac:dyDescent="0.3">
      <c r="A84" t="s">
        <v>226</v>
      </c>
      <c r="B84" t="s">
        <v>110</v>
      </c>
      <c r="C84">
        <v>38</v>
      </c>
      <c r="D84" t="s">
        <v>20</v>
      </c>
      <c r="E84" t="s">
        <v>227</v>
      </c>
      <c r="F84" t="s">
        <v>130</v>
      </c>
      <c r="G84" t="s">
        <v>23</v>
      </c>
      <c r="H84">
        <v>44</v>
      </c>
      <c r="I84">
        <v>1</v>
      </c>
      <c r="J84">
        <v>4</v>
      </c>
      <c r="K84">
        <v>3</v>
      </c>
      <c r="L84">
        <v>4</v>
      </c>
      <c r="M84">
        <v>3</v>
      </c>
      <c r="N84" t="s">
        <v>33</v>
      </c>
      <c r="O84" t="s">
        <v>69</v>
      </c>
      <c r="P84" t="s">
        <v>108</v>
      </c>
      <c r="Q84">
        <v>5000000</v>
      </c>
      <c r="R84" t="s">
        <v>57</v>
      </c>
      <c r="S84" s="4">
        <v>46197</v>
      </c>
      <c r="T84" s="5" t="str">
        <f t="shared" si="1"/>
        <v>2026-06</v>
      </c>
    </row>
    <row r="85" spans="1:20" x14ac:dyDescent="0.3">
      <c r="A85" t="s">
        <v>228</v>
      </c>
      <c r="B85" t="s">
        <v>220</v>
      </c>
      <c r="C85">
        <v>46</v>
      </c>
      <c r="D85" t="s">
        <v>30</v>
      </c>
      <c r="E85" t="s">
        <v>203</v>
      </c>
      <c r="F85" t="s">
        <v>32</v>
      </c>
      <c r="G85" t="s">
        <v>41</v>
      </c>
      <c r="H85">
        <v>35</v>
      </c>
      <c r="I85">
        <v>4</v>
      </c>
      <c r="J85">
        <v>3</v>
      </c>
      <c r="K85">
        <v>4</v>
      </c>
      <c r="L85">
        <v>5</v>
      </c>
      <c r="M85">
        <v>1</v>
      </c>
      <c r="N85" t="s">
        <v>33</v>
      </c>
      <c r="O85" t="s">
        <v>69</v>
      </c>
      <c r="P85" t="s">
        <v>44</v>
      </c>
      <c r="Q85">
        <v>100000</v>
      </c>
      <c r="R85" t="s">
        <v>87</v>
      </c>
      <c r="S85" s="4">
        <v>46188</v>
      </c>
      <c r="T85" s="5" t="str">
        <f t="shared" si="1"/>
        <v>2026-06</v>
      </c>
    </row>
    <row r="86" spans="1:20" x14ac:dyDescent="0.3">
      <c r="A86" t="s">
        <v>229</v>
      </c>
      <c r="B86" t="s">
        <v>183</v>
      </c>
      <c r="C86">
        <v>55</v>
      </c>
      <c r="D86" t="s">
        <v>83</v>
      </c>
      <c r="E86" t="s">
        <v>171</v>
      </c>
      <c r="F86" t="s">
        <v>79</v>
      </c>
      <c r="G86" t="s">
        <v>41</v>
      </c>
      <c r="H86">
        <v>39</v>
      </c>
      <c r="I86">
        <v>1</v>
      </c>
      <c r="J86">
        <v>4</v>
      </c>
      <c r="K86">
        <v>1</v>
      </c>
      <c r="L86">
        <v>4</v>
      </c>
      <c r="M86">
        <v>4</v>
      </c>
      <c r="N86" t="s">
        <v>33</v>
      </c>
      <c r="O86" t="s">
        <v>43</v>
      </c>
      <c r="P86" t="s">
        <v>44</v>
      </c>
      <c r="Q86">
        <v>50000</v>
      </c>
      <c r="R86" t="s">
        <v>66</v>
      </c>
      <c r="S86" s="4">
        <v>46041</v>
      </c>
      <c r="T86" s="5" t="str">
        <f t="shared" si="1"/>
        <v>2026-01</v>
      </c>
    </row>
    <row r="87" spans="1:20" x14ac:dyDescent="0.3">
      <c r="A87" t="s">
        <v>230</v>
      </c>
      <c r="B87" t="s">
        <v>19</v>
      </c>
      <c r="C87">
        <v>64</v>
      </c>
      <c r="D87" t="s">
        <v>83</v>
      </c>
      <c r="E87" t="s">
        <v>156</v>
      </c>
      <c r="F87" t="s">
        <v>56</v>
      </c>
      <c r="G87" t="s">
        <v>41</v>
      </c>
      <c r="H87">
        <v>11</v>
      </c>
      <c r="I87">
        <v>5</v>
      </c>
      <c r="J87">
        <v>3</v>
      </c>
      <c r="K87">
        <v>1</v>
      </c>
      <c r="L87">
        <v>5</v>
      </c>
      <c r="M87">
        <v>6</v>
      </c>
      <c r="N87" t="s">
        <v>33</v>
      </c>
      <c r="O87" t="s">
        <v>34</v>
      </c>
      <c r="P87" t="s">
        <v>44</v>
      </c>
      <c r="Q87">
        <v>100000</v>
      </c>
      <c r="R87" t="s">
        <v>186</v>
      </c>
      <c r="S87" s="4">
        <v>46178</v>
      </c>
      <c r="T87" s="5" t="str">
        <f t="shared" si="1"/>
        <v>2026-06</v>
      </c>
    </row>
    <row r="88" spans="1:20" x14ac:dyDescent="0.3">
      <c r="A88" t="s">
        <v>231</v>
      </c>
      <c r="B88" t="s">
        <v>29</v>
      </c>
      <c r="C88">
        <v>17</v>
      </c>
      <c r="D88" t="s">
        <v>90</v>
      </c>
      <c r="E88" t="s">
        <v>124</v>
      </c>
      <c r="F88" t="s">
        <v>125</v>
      </c>
      <c r="G88" t="s">
        <v>23</v>
      </c>
      <c r="H88">
        <v>27</v>
      </c>
      <c r="I88">
        <v>5</v>
      </c>
      <c r="J88">
        <v>1</v>
      </c>
      <c r="K88">
        <v>3</v>
      </c>
      <c r="L88">
        <v>4</v>
      </c>
      <c r="M88">
        <v>8</v>
      </c>
      <c r="N88" t="s">
        <v>24</v>
      </c>
      <c r="O88" t="s">
        <v>43</v>
      </c>
      <c r="P88" t="s">
        <v>51</v>
      </c>
      <c r="Q88">
        <v>5000000</v>
      </c>
      <c r="R88" t="s">
        <v>45</v>
      </c>
      <c r="S88" s="4">
        <v>46185</v>
      </c>
      <c r="T88" s="5" t="str">
        <f t="shared" si="1"/>
        <v>2026-06</v>
      </c>
    </row>
    <row r="89" spans="1:20" x14ac:dyDescent="0.3">
      <c r="A89" t="s">
        <v>232</v>
      </c>
      <c r="B89" t="s">
        <v>176</v>
      </c>
      <c r="C89">
        <v>42</v>
      </c>
      <c r="D89" t="s">
        <v>20</v>
      </c>
      <c r="E89" t="s">
        <v>174</v>
      </c>
      <c r="F89" t="s">
        <v>32</v>
      </c>
      <c r="G89" t="s">
        <v>23</v>
      </c>
      <c r="H89">
        <v>24</v>
      </c>
      <c r="I89">
        <v>2</v>
      </c>
      <c r="J89">
        <v>1</v>
      </c>
      <c r="K89">
        <v>5</v>
      </c>
      <c r="L89">
        <v>5</v>
      </c>
      <c r="M89">
        <v>6</v>
      </c>
      <c r="N89" t="s">
        <v>33</v>
      </c>
      <c r="O89" t="s">
        <v>25</v>
      </c>
      <c r="P89" t="s">
        <v>26</v>
      </c>
      <c r="Q89">
        <v>50000</v>
      </c>
      <c r="R89" t="s">
        <v>27</v>
      </c>
      <c r="S89" s="4">
        <v>46066</v>
      </c>
      <c r="T89" s="5" t="str">
        <f t="shared" si="1"/>
        <v>2026-02</v>
      </c>
    </row>
    <row r="90" spans="1:20" x14ac:dyDescent="0.3">
      <c r="A90" t="s">
        <v>233</v>
      </c>
      <c r="B90" t="s">
        <v>94</v>
      </c>
      <c r="C90">
        <v>45</v>
      </c>
      <c r="D90" t="s">
        <v>30</v>
      </c>
      <c r="E90" t="s">
        <v>171</v>
      </c>
      <c r="F90" t="s">
        <v>79</v>
      </c>
      <c r="G90" t="s">
        <v>23</v>
      </c>
      <c r="H90">
        <v>13</v>
      </c>
      <c r="I90">
        <v>4</v>
      </c>
      <c r="J90">
        <v>4</v>
      </c>
      <c r="K90">
        <v>2</v>
      </c>
      <c r="L90">
        <v>3</v>
      </c>
      <c r="M90">
        <v>9</v>
      </c>
      <c r="N90" t="s">
        <v>42</v>
      </c>
      <c r="O90" t="s">
        <v>25</v>
      </c>
      <c r="P90" t="s">
        <v>44</v>
      </c>
      <c r="Q90">
        <v>2000000</v>
      </c>
      <c r="R90" t="s">
        <v>126</v>
      </c>
      <c r="S90" s="4">
        <v>46159</v>
      </c>
      <c r="T90" s="5" t="str">
        <f t="shared" si="1"/>
        <v>2026-05</v>
      </c>
    </row>
    <row r="91" spans="1:20" x14ac:dyDescent="0.3">
      <c r="A91" t="s">
        <v>234</v>
      </c>
      <c r="B91" t="s">
        <v>99</v>
      </c>
      <c r="C91">
        <v>55</v>
      </c>
      <c r="D91" t="s">
        <v>83</v>
      </c>
      <c r="E91" t="s">
        <v>200</v>
      </c>
      <c r="F91" t="s">
        <v>56</v>
      </c>
      <c r="G91" t="s">
        <v>41</v>
      </c>
      <c r="H91">
        <v>25</v>
      </c>
      <c r="I91">
        <v>4</v>
      </c>
      <c r="J91">
        <v>2</v>
      </c>
      <c r="K91">
        <v>4</v>
      </c>
      <c r="L91">
        <v>2</v>
      </c>
      <c r="M91">
        <v>2</v>
      </c>
      <c r="N91" t="s">
        <v>33</v>
      </c>
      <c r="O91" t="s">
        <v>43</v>
      </c>
      <c r="P91" t="s">
        <v>26</v>
      </c>
      <c r="Q91">
        <v>100000</v>
      </c>
      <c r="R91" t="s">
        <v>121</v>
      </c>
      <c r="S91" s="4">
        <v>46085</v>
      </c>
      <c r="T91" s="5" t="str">
        <f t="shared" si="1"/>
        <v>2026-03</v>
      </c>
    </row>
    <row r="92" spans="1:20" x14ac:dyDescent="0.3">
      <c r="A92" t="s">
        <v>235</v>
      </c>
      <c r="B92" t="s">
        <v>215</v>
      </c>
      <c r="C92">
        <v>30</v>
      </c>
      <c r="D92" t="s">
        <v>54</v>
      </c>
      <c r="E92" t="s">
        <v>115</v>
      </c>
      <c r="F92" t="s">
        <v>22</v>
      </c>
      <c r="G92" t="s">
        <v>41</v>
      </c>
      <c r="H92">
        <v>44</v>
      </c>
      <c r="I92">
        <v>4</v>
      </c>
      <c r="J92">
        <v>2</v>
      </c>
      <c r="K92">
        <v>3</v>
      </c>
      <c r="L92">
        <v>5</v>
      </c>
      <c r="M92">
        <v>5</v>
      </c>
      <c r="N92" t="s">
        <v>33</v>
      </c>
      <c r="O92" t="s">
        <v>107</v>
      </c>
      <c r="P92" t="s">
        <v>51</v>
      </c>
      <c r="Q92">
        <v>100000</v>
      </c>
      <c r="R92" t="s">
        <v>36</v>
      </c>
      <c r="S92" s="4">
        <v>46064</v>
      </c>
      <c r="T92" s="5" t="str">
        <f t="shared" si="1"/>
        <v>2026-02</v>
      </c>
    </row>
    <row r="93" spans="1:20" x14ac:dyDescent="0.3">
      <c r="A93" t="s">
        <v>236</v>
      </c>
      <c r="B93" t="s">
        <v>192</v>
      </c>
      <c r="C93">
        <v>64</v>
      </c>
      <c r="D93" t="s">
        <v>83</v>
      </c>
      <c r="E93" t="s">
        <v>95</v>
      </c>
      <c r="F93" t="s">
        <v>96</v>
      </c>
      <c r="G93" t="s">
        <v>23</v>
      </c>
      <c r="H93">
        <v>6</v>
      </c>
      <c r="I93">
        <v>5</v>
      </c>
      <c r="J93">
        <v>4</v>
      </c>
      <c r="K93">
        <v>2</v>
      </c>
      <c r="L93">
        <v>2</v>
      </c>
      <c r="M93">
        <v>4</v>
      </c>
      <c r="N93" t="s">
        <v>33</v>
      </c>
      <c r="O93" t="s">
        <v>25</v>
      </c>
      <c r="P93" t="s">
        <v>35</v>
      </c>
      <c r="Q93">
        <v>2000000</v>
      </c>
      <c r="R93" t="s">
        <v>80</v>
      </c>
      <c r="S93" s="4">
        <v>46141</v>
      </c>
      <c r="T93" s="5" t="str">
        <f t="shared" si="1"/>
        <v>2026-04</v>
      </c>
    </row>
    <row r="94" spans="1:20" x14ac:dyDescent="0.3">
      <c r="A94" t="s">
        <v>237</v>
      </c>
      <c r="B94" t="s">
        <v>199</v>
      </c>
      <c r="C94">
        <v>38</v>
      </c>
      <c r="D94" t="s">
        <v>20</v>
      </c>
      <c r="E94" t="s">
        <v>174</v>
      </c>
      <c r="F94" t="s">
        <v>32</v>
      </c>
      <c r="G94" t="s">
        <v>41</v>
      </c>
      <c r="H94">
        <v>43</v>
      </c>
      <c r="I94">
        <v>2</v>
      </c>
      <c r="J94">
        <v>2</v>
      </c>
      <c r="K94">
        <v>3</v>
      </c>
      <c r="L94">
        <v>4</v>
      </c>
      <c r="M94">
        <v>2</v>
      </c>
      <c r="N94" t="s">
        <v>33</v>
      </c>
      <c r="O94" t="s">
        <v>34</v>
      </c>
      <c r="P94" t="s">
        <v>35</v>
      </c>
      <c r="Q94">
        <v>50000</v>
      </c>
      <c r="R94" t="s">
        <v>36</v>
      </c>
      <c r="S94" s="4">
        <v>46120</v>
      </c>
      <c r="T94" s="5" t="str">
        <f t="shared" si="1"/>
        <v>2026-04</v>
      </c>
    </row>
    <row r="95" spans="1:20" x14ac:dyDescent="0.3">
      <c r="A95" t="s">
        <v>238</v>
      </c>
      <c r="B95" t="s">
        <v>239</v>
      </c>
      <c r="C95">
        <v>19</v>
      </c>
      <c r="D95" t="s">
        <v>90</v>
      </c>
      <c r="E95" t="s">
        <v>156</v>
      </c>
      <c r="F95" t="s">
        <v>56</v>
      </c>
      <c r="G95" t="s">
        <v>23</v>
      </c>
      <c r="H95">
        <v>32</v>
      </c>
      <c r="I95">
        <v>2</v>
      </c>
      <c r="J95">
        <v>1</v>
      </c>
      <c r="K95">
        <v>1</v>
      </c>
      <c r="L95">
        <v>3</v>
      </c>
      <c r="M95">
        <v>10</v>
      </c>
      <c r="N95" t="s">
        <v>42</v>
      </c>
      <c r="O95" t="s">
        <v>69</v>
      </c>
      <c r="P95" t="s">
        <v>26</v>
      </c>
      <c r="Q95">
        <v>500000</v>
      </c>
      <c r="R95" t="s">
        <v>143</v>
      </c>
      <c r="S95" s="4">
        <v>46092</v>
      </c>
      <c r="T95" s="5" t="str">
        <f t="shared" si="1"/>
        <v>2026-03</v>
      </c>
    </row>
    <row r="96" spans="1:20" x14ac:dyDescent="0.3">
      <c r="A96" t="s">
        <v>240</v>
      </c>
      <c r="B96" t="s">
        <v>136</v>
      </c>
      <c r="C96">
        <v>63</v>
      </c>
      <c r="D96" t="s">
        <v>83</v>
      </c>
      <c r="E96" t="s">
        <v>134</v>
      </c>
      <c r="F96" t="s">
        <v>73</v>
      </c>
      <c r="G96" t="s">
        <v>23</v>
      </c>
      <c r="H96">
        <v>26</v>
      </c>
      <c r="I96">
        <v>4</v>
      </c>
      <c r="J96">
        <v>5</v>
      </c>
      <c r="K96">
        <v>3</v>
      </c>
      <c r="L96">
        <v>4</v>
      </c>
      <c r="M96">
        <v>5</v>
      </c>
      <c r="N96" t="s">
        <v>33</v>
      </c>
      <c r="O96" t="s">
        <v>69</v>
      </c>
      <c r="P96" t="s">
        <v>26</v>
      </c>
      <c r="Q96">
        <v>1000000</v>
      </c>
      <c r="R96" t="s">
        <v>66</v>
      </c>
      <c r="S96" s="4">
        <v>46186</v>
      </c>
      <c r="T96" s="5" t="str">
        <f t="shared" si="1"/>
        <v>2026-06</v>
      </c>
    </row>
    <row r="97" spans="1:20" x14ac:dyDescent="0.3">
      <c r="A97" t="s">
        <v>241</v>
      </c>
      <c r="B97" t="s">
        <v>192</v>
      </c>
      <c r="C97">
        <v>32</v>
      </c>
      <c r="D97" t="s">
        <v>54</v>
      </c>
      <c r="E97" t="s">
        <v>203</v>
      </c>
      <c r="F97" t="s">
        <v>32</v>
      </c>
      <c r="G97" t="s">
        <v>23</v>
      </c>
      <c r="H97">
        <v>25</v>
      </c>
      <c r="I97">
        <v>4</v>
      </c>
      <c r="J97">
        <v>3</v>
      </c>
      <c r="K97">
        <v>5</v>
      </c>
      <c r="L97">
        <v>4</v>
      </c>
      <c r="M97">
        <v>4</v>
      </c>
      <c r="N97" t="s">
        <v>33</v>
      </c>
      <c r="O97" t="s">
        <v>43</v>
      </c>
      <c r="P97" t="s">
        <v>51</v>
      </c>
      <c r="Q97">
        <v>2000000</v>
      </c>
      <c r="R97" t="s">
        <v>66</v>
      </c>
      <c r="S97" s="4">
        <v>46199</v>
      </c>
      <c r="T97" s="5" t="str">
        <f t="shared" si="1"/>
        <v>2026-06</v>
      </c>
    </row>
    <row r="98" spans="1:20" x14ac:dyDescent="0.3">
      <c r="A98" t="s">
        <v>242</v>
      </c>
      <c r="B98" t="s">
        <v>120</v>
      </c>
      <c r="C98">
        <v>25</v>
      </c>
      <c r="D98" t="s">
        <v>54</v>
      </c>
      <c r="E98" t="s">
        <v>203</v>
      </c>
      <c r="F98" t="s">
        <v>32</v>
      </c>
      <c r="G98" t="s">
        <v>23</v>
      </c>
      <c r="H98">
        <v>35</v>
      </c>
      <c r="I98">
        <v>1</v>
      </c>
      <c r="J98">
        <v>2</v>
      </c>
      <c r="K98">
        <v>3</v>
      </c>
      <c r="L98">
        <v>3</v>
      </c>
      <c r="M98">
        <v>5</v>
      </c>
      <c r="N98" t="s">
        <v>33</v>
      </c>
      <c r="O98" t="s">
        <v>107</v>
      </c>
      <c r="P98" t="s">
        <v>26</v>
      </c>
      <c r="Q98">
        <v>2000000</v>
      </c>
      <c r="R98" t="s">
        <v>57</v>
      </c>
      <c r="S98" s="4">
        <v>46165</v>
      </c>
      <c r="T98" s="5" t="str">
        <f t="shared" si="1"/>
        <v>2026-05</v>
      </c>
    </row>
    <row r="99" spans="1:20" x14ac:dyDescent="0.3">
      <c r="A99" t="s">
        <v>243</v>
      </c>
      <c r="B99" t="s">
        <v>29</v>
      </c>
      <c r="C99">
        <v>38</v>
      </c>
      <c r="D99" t="s">
        <v>20</v>
      </c>
      <c r="E99" t="s">
        <v>64</v>
      </c>
      <c r="F99" t="s">
        <v>65</v>
      </c>
      <c r="G99" t="s">
        <v>23</v>
      </c>
      <c r="H99">
        <v>37</v>
      </c>
      <c r="I99">
        <v>2</v>
      </c>
      <c r="J99">
        <v>4</v>
      </c>
      <c r="K99">
        <v>5</v>
      </c>
      <c r="L99">
        <v>2</v>
      </c>
      <c r="M99">
        <v>5</v>
      </c>
      <c r="N99" t="s">
        <v>33</v>
      </c>
      <c r="O99" t="s">
        <v>50</v>
      </c>
      <c r="P99" t="s">
        <v>35</v>
      </c>
      <c r="Q99">
        <v>500000</v>
      </c>
      <c r="R99" t="s">
        <v>36</v>
      </c>
      <c r="S99" s="4">
        <v>46079</v>
      </c>
      <c r="T99" s="5" t="str">
        <f t="shared" si="1"/>
        <v>2026-02</v>
      </c>
    </row>
    <row r="100" spans="1:20" x14ac:dyDescent="0.3">
      <c r="A100" t="s">
        <v>244</v>
      </c>
      <c r="B100" t="s">
        <v>53</v>
      </c>
      <c r="C100">
        <v>17</v>
      </c>
      <c r="D100" t="s">
        <v>90</v>
      </c>
      <c r="E100" t="s">
        <v>245</v>
      </c>
      <c r="F100" t="s">
        <v>130</v>
      </c>
      <c r="G100" t="s">
        <v>41</v>
      </c>
      <c r="H100">
        <v>38</v>
      </c>
      <c r="I100">
        <v>4</v>
      </c>
      <c r="J100">
        <v>3</v>
      </c>
      <c r="K100">
        <v>2</v>
      </c>
      <c r="L100">
        <v>2</v>
      </c>
      <c r="M100">
        <v>5</v>
      </c>
      <c r="N100" t="s">
        <v>33</v>
      </c>
      <c r="O100" t="s">
        <v>50</v>
      </c>
      <c r="P100" t="s">
        <v>44</v>
      </c>
      <c r="Q100">
        <v>50000</v>
      </c>
      <c r="R100" t="s">
        <v>80</v>
      </c>
      <c r="S100" s="4">
        <v>46198</v>
      </c>
      <c r="T100" s="5" t="str">
        <f t="shared" si="1"/>
        <v>2026-06</v>
      </c>
    </row>
    <row r="101" spans="1:20" x14ac:dyDescent="0.3">
      <c r="A101" t="s">
        <v>246</v>
      </c>
      <c r="B101" t="s">
        <v>247</v>
      </c>
      <c r="C101">
        <v>20</v>
      </c>
      <c r="D101" t="s">
        <v>90</v>
      </c>
      <c r="E101" t="s">
        <v>60</v>
      </c>
      <c r="F101" t="s">
        <v>61</v>
      </c>
      <c r="G101" t="s">
        <v>23</v>
      </c>
      <c r="H101">
        <v>27</v>
      </c>
      <c r="I101">
        <v>3</v>
      </c>
      <c r="J101">
        <v>5</v>
      </c>
      <c r="K101">
        <v>5</v>
      </c>
      <c r="L101">
        <v>2</v>
      </c>
      <c r="M101">
        <v>3</v>
      </c>
      <c r="N101" t="s">
        <v>33</v>
      </c>
      <c r="O101" t="s">
        <v>25</v>
      </c>
      <c r="P101" t="s">
        <v>26</v>
      </c>
      <c r="Q101">
        <v>5000000</v>
      </c>
      <c r="R101" t="s">
        <v>121</v>
      </c>
      <c r="S101" s="4">
        <v>46106</v>
      </c>
      <c r="T101" s="5" t="str">
        <f t="shared" si="1"/>
        <v>2026-03</v>
      </c>
    </row>
    <row r="102" spans="1:20" x14ac:dyDescent="0.3">
      <c r="A102" t="s">
        <v>248</v>
      </c>
      <c r="B102" t="s">
        <v>215</v>
      </c>
      <c r="C102">
        <v>20</v>
      </c>
      <c r="D102" t="s">
        <v>90</v>
      </c>
      <c r="E102" t="s">
        <v>174</v>
      </c>
      <c r="F102" t="s">
        <v>32</v>
      </c>
      <c r="G102" t="s">
        <v>41</v>
      </c>
      <c r="H102">
        <v>30</v>
      </c>
      <c r="I102">
        <v>4</v>
      </c>
      <c r="J102">
        <v>5</v>
      </c>
      <c r="K102">
        <v>4</v>
      </c>
      <c r="L102">
        <v>2</v>
      </c>
      <c r="M102">
        <v>10</v>
      </c>
      <c r="N102" t="s">
        <v>42</v>
      </c>
      <c r="O102" t="s">
        <v>43</v>
      </c>
      <c r="P102" t="s">
        <v>108</v>
      </c>
      <c r="Q102">
        <v>100000</v>
      </c>
      <c r="R102" t="s">
        <v>126</v>
      </c>
      <c r="S102" s="4">
        <v>46037</v>
      </c>
      <c r="T102" s="5" t="str">
        <f t="shared" si="1"/>
        <v>2026-01</v>
      </c>
    </row>
    <row r="103" spans="1:20" x14ac:dyDescent="0.3">
      <c r="A103" t="s">
        <v>249</v>
      </c>
      <c r="B103" t="s">
        <v>199</v>
      </c>
      <c r="C103">
        <v>63</v>
      </c>
      <c r="D103" t="s">
        <v>83</v>
      </c>
      <c r="E103" t="s">
        <v>118</v>
      </c>
      <c r="F103" t="s">
        <v>79</v>
      </c>
      <c r="G103" t="s">
        <v>23</v>
      </c>
      <c r="H103">
        <v>8</v>
      </c>
      <c r="I103">
        <v>1</v>
      </c>
      <c r="J103">
        <v>4</v>
      </c>
      <c r="K103">
        <v>5</v>
      </c>
      <c r="L103">
        <v>3</v>
      </c>
      <c r="M103">
        <v>2</v>
      </c>
      <c r="N103" t="s">
        <v>33</v>
      </c>
      <c r="O103" t="s">
        <v>43</v>
      </c>
      <c r="P103" t="s">
        <v>108</v>
      </c>
      <c r="Q103">
        <v>50000</v>
      </c>
      <c r="R103" t="s">
        <v>121</v>
      </c>
      <c r="S103" s="4">
        <v>46081</v>
      </c>
      <c r="T103" s="5" t="str">
        <f t="shared" si="1"/>
        <v>2026-02</v>
      </c>
    </row>
    <row r="104" spans="1:20" x14ac:dyDescent="0.3">
      <c r="A104" t="s">
        <v>250</v>
      </c>
      <c r="B104" t="s">
        <v>86</v>
      </c>
      <c r="C104">
        <v>27</v>
      </c>
      <c r="D104" t="s">
        <v>54</v>
      </c>
      <c r="E104" t="s">
        <v>55</v>
      </c>
      <c r="F104" t="s">
        <v>56</v>
      </c>
      <c r="G104" t="s">
        <v>23</v>
      </c>
      <c r="H104">
        <v>17</v>
      </c>
      <c r="I104">
        <v>2</v>
      </c>
      <c r="J104">
        <v>3</v>
      </c>
      <c r="K104">
        <v>3</v>
      </c>
      <c r="L104">
        <v>2</v>
      </c>
      <c r="M104">
        <v>6</v>
      </c>
      <c r="N104" t="s">
        <v>33</v>
      </c>
      <c r="O104" t="s">
        <v>43</v>
      </c>
      <c r="P104" t="s">
        <v>44</v>
      </c>
      <c r="Q104">
        <v>250000</v>
      </c>
      <c r="R104" t="s">
        <v>186</v>
      </c>
      <c r="S104" s="4">
        <v>46031</v>
      </c>
      <c r="T104" s="5" t="str">
        <f t="shared" si="1"/>
        <v>2026-01</v>
      </c>
    </row>
    <row r="105" spans="1:20" x14ac:dyDescent="0.3">
      <c r="A105" t="s">
        <v>251</v>
      </c>
      <c r="B105" t="s">
        <v>47</v>
      </c>
      <c r="C105">
        <v>58</v>
      </c>
      <c r="D105" t="s">
        <v>83</v>
      </c>
      <c r="E105" t="s">
        <v>105</v>
      </c>
      <c r="F105" t="s">
        <v>106</v>
      </c>
      <c r="G105" t="s">
        <v>23</v>
      </c>
      <c r="H105">
        <v>10</v>
      </c>
      <c r="I105">
        <v>2</v>
      </c>
      <c r="J105">
        <v>1</v>
      </c>
      <c r="K105">
        <v>5</v>
      </c>
      <c r="L105">
        <v>4</v>
      </c>
      <c r="M105">
        <v>5</v>
      </c>
      <c r="N105" t="s">
        <v>33</v>
      </c>
      <c r="O105" t="s">
        <v>50</v>
      </c>
      <c r="P105" t="s">
        <v>35</v>
      </c>
      <c r="Q105">
        <v>100000</v>
      </c>
      <c r="R105" t="s">
        <v>80</v>
      </c>
      <c r="S105" s="4">
        <v>46103</v>
      </c>
      <c r="T105" s="5" t="str">
        <f t="shared" si="1"/>
        <v>2026-03</v>
      </c>
    </row>
    <row r="106" spans="1:20" x14ac:dyDescent="0.3">
      <c r="A106" t="s">
        <v>252</v>
      </c>
      <c r="B106" t="s">
        <v>110</v>
      </c>
      <c r="C106">
        <v>42</v>
      </c>
      <c r="D106" t="s">
        <v>20</v>
      </c>
      <c r="E106" t="s">
        <v>142</v>
      </c>
      <c r="F106" t="s">
        <v>96</v>
      </c>
      <c r="G106" t="s">
        <v>41</v>
      </c>
      <c r="H106">
        <v>8</v>
      </c>
      <c r="I106">
        <v>3</v>
      </c>
      <c r="J106">
        <v>4</v>
      </c>
      <c r="K106">
        <v>2</v>
      </c>
      <c r="L106">
        <v>2</v>
      </c>
      <c r="M106">
        <v>7</v>
      </c>
      <c r="N106" t="s">
        <v>24</v>
      </c>
      <c r="O106" t="s">
        <v>69</v>
      </c>
      <c r="P106" t="s">
        <v>26</v>
      </c>
      <c r="Q106">
        <v>250000</v>
      </c>
      <c r="R106" t="s">
        <v>84</v>
      </c>
      <c r="S106" s="4">
        <v>46125</v>
      </c>
      <c r="T106" s="5" t="str">
        <f t="shared" si="1"/>
        <v>2026-04</v>
      </c>
    </row>
    <row r="107" spans="1:20" x14ac:dyDescent="0.3">
      <c r="A107" t="s">
        <v>253</v>
      </c>
      <c r="B107" t="s">
        <v>138</v>
      </c>
      <c r="C107">
        <v>45</v>
      </c>
      <c r="D107" t="s">
        <v>30</v>
      </c>
      <c r="E107" t="s">
        <v>100</v>
      </c>
      <c r="F107" t="s">
        <v>61</v>
      </c>
      <c r="G107" t="s">
        <v>41</v>
      </c>
      <c r="H107">
        <v>34</v>
      </c>
      <c r="I107">
        <v>5</v>
      </c>
      <c r="J107">
        <v>1</v>
      </c>
      <c r="K107">
        <v>1</v>
      </c>
      <c r="L107">
        <v>3</v>
      </c>
      <c r="M107">
        <v>5</v>
      </c>
      <c r="N107" t="s">
        <v>33</v>
      </c>
      <c r="O107" t="s">
        <v>43</v>
      </c>
      <c r="P107" t="s">
        <v>35</v>
      </c>
      <c r="Q107">
        <v>2000000</v>
      </c>
      <c r="R107" t="s">
        <v>80</v>
      </c>
      <c r="S107" s="4">
        <v>46091</v>
      </c>
      <c r="T107" s="5" t="str">
        <f t="shared" si="1"/>
        <v>2026-03</v>
      </c>
    </row>
    <row r="108" spans="1:20" x14ac:dyDescent="0.3">
      <c r="A108" t="s">
        <v>254</v>
      </c>
      <c r="B108" t="s">
        <v>77</v>
      </c>
      <c r="C108">
        <v>63</v>
      </c>
      <c r="D108" t="s">
        <v>83</v>
      </c>
      <c r="E108" t="s">
        <v>105</v>
      </c>
      <c r="F108" t="s">
        <v>106</v>
      </c>
      <c r="G108" t="s">
        <v>41</v>
      </c>
      <c r="H108">
        <v>43</v>
      </c>
      <c r="I108">
        <v>2</v>
      </c>
      <c r="J108">
        <v>1</v>
      </c>
      <c r="K108">
        <v>3</v>
      </c>
      <c r="L108">
        <v>2</v>
      </c>
      <c r="M108">
        <v>5</v>
      </c>
      <c r="N108" t="s">
        <v>33</v>
      </c>
      <c r="O108" t="s">
        <v>50</v>
      </c>
      <c r="P108" t="s">
        <v>44</v>
      </c>
      <c r="Q108">
        <v>5000000</v>
      </c>
      <c r="R108" t="s">
        <v>66</v>
      </c>
      <c r="S108" s="4">
        <v>46039</v>
      </c>
      <c r="T108" s="5" t="str">
        <f t="shared" si="1"/>
        <v>2026-01</v>
      </c>
    </row>
    <row r="109" spans="1:20" x14ac:dyDescent="0.3">
      <c r="A109" t="s">
        <v>255</v>
      </c>
      <c r="B109" t="s">
        <v>112</v>
      </c>
      <c r="C109">
        <v>31</v>
      </c>
      <c r="D109" t="s">
        <v>54</v>
      </c>
      <c r="E109" t="s">
        <v>142</v>
      </c>
      <c r="F109" t="s">
        <v>96</v>
      </c>
      <c r="G109" t="s">
        <v>23</v>
      </c>
      <c r="H109">
        <v>41</v>
      </c>
      <c r="I109">
        <v>5</v>
      </c>
      <c r="J109">
        <v>1</v>
      </c>
      <c r="K109">
        <v>2</v>
      </c>
      <c r="L109">
        <v>4</v>
      </c>
      <c r="M109">
        <v>8</v>
      </c>
      <c r="N109" t="s">
        <v>24</v>
      </c>
      <c r="O109" t="s">
        <v>34</v>
      </c>
      <c r="P109" t="s">
        <v>44</v>
      </c>
      <c r="Q109">
        <v>2000000</v>
      </c>
      <c r="R109" t="s">
        <v>126</v>
      </c>
      <c r="S109" s="4">
        <v>46077</v>
      </c>
      <c r="T109" s="5" t="str">
        <f t="shared" si="1"/>
        <v>2026-02</v>
      </c>
    </row>
    <row r="110" spans="1:20" x14ac:dyDescent="0.3">
      <c r="A110" t="s">
        <v>256</v>
      </c>
      <c r="B110" t="s">
        <v>128</v>
      </c>
      <c r="C110">
        <v>29</v>
      </c>
      <c r="D110" t="s">
        <v>54</v>
      </c>
      <c r="E110" t="s">
        <v>31</v>
      </c>
      <c r="F110" t="s">
        <v>32</v>
      </c>
      <c r="G110" t="s">
        <v>41</v>
      </c>
      <c r="H110">
        <v>26</v>
      </c>
      <c r="I110">
        <v>4</v>
      </c>
      <c r="J110">
        <v>5</v>
      </c>
      <c r="K110">
        <v>3</v>
      </c>
      <c r="L110">
        <v>3</v>
      </c>
      <c r="M110">
        <v>2</v>
      </c>
      <c r="N110" t="s">
        <v>33</v>
      </c>
      <c r="O110" t="s">
        <v>107</v>
      </c>
      <c r="P110" t="s">
        <v>35</v>
      </c>
      <c r="Q110">
        <v>100000</v>
      </c>
      <c r="R110" t="s">
        <v>87</v>
      </c>
      <c r="S110" s="4">
        <v>46168</v>
      </c>
      <c r="T110" s="5" t="str">
        <f t="shared" si="1"/>
        <v>2026-05</v>
      </c>
    </row>
    <row r="111" spans="1:20" x14ac:dyDescent="0.3">
      <c r="A111" t="s">
        <v>257</v>
      </c>
      <c r="B111" t="s">
        <v>114</v>
      </c>
      <c r="C111">
        <v>32</v>
      </c>
      <c r="D111" t="s">
        <v>54</v>
      </c>
      <c r="E111" t="s">
        <v>142</v>
      </c>
      <c r="F111" t="s">
        <v>96</v>
      </c>
      <c r="G111" t="s">
        <v>41</v>
      </c>
      <c r="H111">
        <v>44</v>
      </c>
      <c r="I111">
        <v>3</v>
      </c>
      <c r="J111">
        <v>2</v>
      </c>
      <c r="K111">
        <v>3</v>
      </c>
      <c r="L111">
        <v>5</v>
      </c>
      <c r="M111">
        <v>5</v>
      </c>
      <c r="N111" t="s">
        <v>33</v>
      </c>
      <c r="O111" t="s">
        <v>34</v>
      </c>
      <c r="P111" t="s">
        <v>35</v>
      </c>
      <c r="Q111">
        <v>100000</v>
      </c>
      <c r="R111" t="s">
        <v>80</v>
      </c>
      <c r="S111" s="4">
        <v>46103</v>
      </c>
      <c r="T111" s="5" t="str">
        <f t="shared" si="1"/>
        <v>2026-03</v>
      </c>
    </row>
    <row r="112" spans="1:20" x14ac:dyDescent="0.3">
      <c r="A112" t="s">
        <v>258</v>
      </c>
      <c r="B112" t="s">
        <v>259</v>
      </c>
      <c r="C112">
        <v>45</v>
      </c>
      <c r="D112" t="s">
        <v>30</v>
      </c>
      <c r="E112" t="s">
        <v>118</v>
      </c>
      <c r="F112" t="s">
        <v>79</v>
      </c>
      <c r="G112" t="s">
        <v>23</v>
      </c>
      <c r="H112">
        <v>12</v>
      </c>
      <c r="I112">
        <v>2</v>
      </c>
      <c r="J112">
        <v>5</v>
      </c>
      <c r="K112">
        <v>2</v>
      </c>
      <c r="L112">
        <v>5</v>
      </c>
      <c r="M112">
        <v>9</v>
      </c>
      <c r="N112" t="s">
        <v>42</v>
      </c>
      <c r="O112" t="s">
        <v>50</v>
      </c>
      <c r="P112" t="s">
        <v>35</v>
      </c>
      <c r="Q112">
        <v>50000</v>
      </c>
      <c r="R112" t="s">
        <v>143</v>
      </c>
      <c r="S112" s="4">
        <v>46077</v>
      </c>
      <c r="T112" s="5" t="str">
        <f t="shared" si="1"/>
        <v>2026-02</v>
      </c>
    </row>
    <row r="113" spans="1:20" x14ac:dyDescent="0.3">
      <c r="A113" t="s">
        <v>260</v>
      </c>
      <c r="B113" t="s">
        <v>261</v>
      </c>
      <c r="C113">
        <v>31</v>
      </c>
      <c r="D113" t="s">
        <v>54</v>
      </c>
      <c r="E113" t="s">
        <v>39</v>
      </c>
      <c r="F113" t="s">
        <v>40</v>
      </c>
      <c r="G113" t="s">
        <v>23</v>
      </c>
      <c r="H113">
        <v>23</v>
      </c>
      <c r="I113">
        <v>2</v>
      </c>
      <c r="J113">
        <v>2</v>
      </c>
      <c r="K113">
        <v>4</v>
      </c>
      <c r="L113">
        <v>4</v>
      </c>
      <c r="M113">
        <v>1</v>
      </c>
      <c r="N113" t="s">
        <v>33</v>
      </c>
      <c r="O113" t="s">
        <v>43</v>
      </c>
      <c r="P113" t="s">
        <v>44</v>
      </c>
      <c r="Q113">
        <v>50000</v>
      </c>
      <c r="R113" t="s">
        <v>87</v>
      </c>
      <c r="S113" s="4">
        <v>46190</v>
      </c>
      <c r="T113" s="5" t="str">
        <f t="shared" si="1"/>
        <v>2026-06</v>
      </c>
    </row>
    <row r="114" spans="1:20" x14ac:dyDescent="0.3">
      <c r="A114" t="s">
        <v>262</v>
      </c>
      <c r="B114" t="s">
        <v>183</v>
      </c>
      <c r="C114">
        <v>19</v>
      </c>
      <c r="D114" t="s">
        <v>90</v>
      </c>
      <c r="E114" t="s">
        <v>152</v>
      </c>
      <c r="F114" t="s">
        <v>65</v>
      </c>
      <c r="G114" t="s">
        <v>41</v>
      </c>
      <c r="H114">
        <v>33</v>
      </c>
      <c r="I114">
        <v>5</v>
      </c>
      <c r="J114">
        <v>2</v>
      </c>
      <c r="K114">
        <v>4</v>
      </c>
      <c r="L114">
        <v>5</v>
      </c>
      <c r="M114">
        <v>7</v>
      </c>
      <c r="N114" t="s">
        <v>24</v>
      </c>
      <c r="O114" t="s">
        <v>50</v>
      </c>
      <c r="P114" t="s">
        <v>44</v>
      </c>
      <c r="Q114">
        <v>5000000</v>
      </c>
      <c r="R114" t="s">
        <v>84</v>
      </c>
      <c r="S114" s="4">
        <v>46150</v>
      </c>
      <c r="T114" s="5" t="str">
        <f t="shared" si="1"/>
        <v>2026-05</v>
      </c>
    </row>
    <row r="115" spans="1:20" x14ac:dyDescent="0.3">
      <c r="A115" t="s">
        <v>263</v>
      </c>
      <c r="B115" t="s">
        <v>217</v>
      </c>
      <c r="C115">
        <v>48</v>
      </c>
      <c r="D115" t="s">
        <v>30</v>
      </c>
      <c r="E115" t="s">
        <v>129</v>
      </c>
      <c r="F115" t="s">
        <v>130</v>
      </c>
      <c r="G115" t="s">
        <v>41</v>
      </c>
      <c r="H115">
        <v>36</v>
      </c>
      <c r="I115">
        <v>1</v>
      </c>
      <c r="J115">
        <v>2</v>
      </c>
      <c r="K115">
        <v>4</v>
      </c>
      <c r="L115">
        <v>1</v>
      </c>
      <c r="M115">
        <v>5</v>
      </c>
      <c r="N115" t="s">
        <v>33</v>
      </c>
      <c r="O115" t="s">
        <v>69</v>
      </c>
      <c r="P115" t="s">
        <v>44</v>
      </c>
      <c r="Q115">
        <v>100000</v>
      </c>
      <c r="R115" t="s">
        <v>80</v>
      </c>
      <c r="S115" s="4">
        <v>46124</v>
      </c>
      <c r="T115" s="5" t="str">
        <f t="shared" si="1"/>
        <v>2026-04</v>
      </c>
    </row>
    <row r="116" spans="1:20" x14ac:dyDescent="0.3">
      <c r="A116" t="s">
        <v>264</v>
      </c>
      <c r="B116" t="s">
        <v>47</v>
      </c>
      <c r="C116">
        <v>59</v>
      </c>
      <c r="D116" t="s">
        <v>83</v>
      </c>
      <c r="E116" t="s">
        <v>60</v>
      </c>
      <c r="F116" t="s">
        <v>61</v>
      </c>
      <c r="G116" t="s">
        <v>23</v>
      </c>
      <c r="H116">
        <v>13</v>
      </c>
      <c r="I116">
        <v>4</v>
      </c>
      <c r="J116">
        <v>3</v>
      </c>
      <c r="K116">
        <v>5</v>
      </c>
      <c r="L116">
        <v>3</v>
      </c>
      <c r="M116">
        <v>6</v>
      </c>
      <c r="N116" t="s">
        <v>33</v>
      </c>
      <c r="O116" t="s">
        <v>34</v>
      </c>
      <c r="P116" t="s">
        <v>35</v>
      </c>
      <c r="Q116">
        <v>250000</v>
      </c>
      <c r="R116" t="s">
        <v>186</v>
      </c>
      <c r="S116" s="4">
        <v>46187</v>
      </c>
      <c r="T116" s="5" t="str">
        <f t="shared" si="1"/>
        <v>2026-06</v>
      </c>
    </row>
    <row r="117" spans="1:20" x14ac:dyDescent="0.3">
      <c r="A117" t="s">
        <v>265</v>
      </c>
      <c r="B117" t="s">
        <v>192</v>
      </c>
      <c r="C117">
        <v>61</v>
      </c>
      <c r="D117" t="s">
        <v>83</v>
      </c>
      <c r="E117" t="s">
        <v>31</v>
      </c>
      <c r="F117" t="s">
        <v>32</v>
      </c>
      <c r="G117" t="s">
        <v>23</v>
      </c>
      <c r="H117">
        <v>7</v>
      </c>
      <c r="I117">
        <v>2</v>
      </c>
      <c r="J117">
        <v>2</v>
      </c>
      <c r="K117">
        <v>2</v>
      </c>
      <c r="L117">
        <v>5</v>
      </c>
      <c r="M117">
        <v>0</v>
      </c>
      <c r="N117" t="s">
        <v>33</v>
      </c>
      <c r="O117" t="s">
        <v>25</v>
      </c>
      <c r="P117" t="s">
        <v>35</v>
      </c>
      <c r="Q117">
        <v>5000000</v>
      </c>
      <c r="R117" t="s">
        <v>80</v>
      </c>
      <c r="S117" s="4">
        <v>46140</v>
      </c>
      <c r="T117" s="5" t="str">
        <f t="shared" si="1"/>
        <v>2026-04</v>
      </c>
    </row>
    <row r="118" spans="1:20" x14ac:dyDescent="0.3">
      <c r="A118" t="s">
        <v>266</v>
      </c>
      <c r="B118" t="s">
        <v>145</v>
      </c>
      <c r="C118">
        <v>59</v>
      </c>
      <c r="D118" t="s">
        <v>83</v>
      </c>
      <c r="E118" t="s">
        <v>91</v>
      </c>
      <c r="F118" t="s">
        <v>73</v>
      </c>
      <c r="G118" t="s">
        <v>23</v>
      </c>
      <c r="H118">
        <v>4</v>
      </c>
      <c r="I118">
        <v>5</v>
      </c>
      <c r="J118">
        <v>2</v>
      </c>
      <c r="K118">
        <v>2</v>
      </c>
      <c r="L118">
        <v>2</v>
      </c>
      <c r="M118">
        <v>5</v>
      </c>
      <c r="N118" t="s">
        <v>33</v>
      </c>
      <c r="O118" t="s">
        <v>34</v>
      </c>
      <c r="P118" t="s">
        <v>26</v>
      </c>
      <c r="Q118">
        <v>500000</v>
      </c>
      <c r="R118" t="s">
        <v>66</v>
      </c>
      <c r="S118" s="4">
        <v>46059</v>
      </c>
      <c r="T118" s="5" t="str">
        <f t="shared" si="1"/>
        <v>2026-02</v>
      </c>
    </row>
    <row r="119" spans="1:20" x14ac:dyDescent="0.3">
      <c r="A119" t="s">
        <v>267</v>
      </c>
      <c r="B119" t="s">
        <v>53</v>
      </c>
      <c r="C119">
        <v>41</v>
      </c>
      <c r="D119" t="s">
        <v>20</v>
      </c>
      <c r="E119" t="s">
        <v>171</v>
      </c>
      <c r="F119" t="s">
        <v>79</v>
      </c>
      <c r="G119" t="s">
        <v>23</v>
      </c>
      <c r="H119">
        <v>35</v>
      </c>
      <c r="I119">
        <v>2</v>
      </c>
      <c r="J119">
        <v>4</v>
      </c>
      <c r="K119">
        <v>2</v>
      </c>
      <c r="L119">
        <v>1</v>
      </c>
      <c r="M119">
        <v>10</v>
      </c>
      <c r="N119" t="s">
        <v>42</v>
      </c>
      <c r="O119" t="s">
        <v>69</v>
      </c>
      <c r="P119" t="s">
        <v>51</v>
      </c>
      <c r="Q119">
        <v>50000</v>
      </c>
      <c r="R119" t="s">
        <v>62</v>
      </c>
      <c r="S119" s="4">
        <v>46090</v>
      </c>
      <c r="T119" s="5" t="str">
        <f t="shared" si="1"/>
        <v>2026-03</v>
      </c>
    </row>
    <row r="120" spans="1:20" x14ac:dyDescent="0.3">
      <c r="A120" t="s">
        <v>268</v>
      </c>
      <c r="B120" t="s">
        <v>217</v>
      </c>
      <c r="C120">
        <v>32</v>
      </c>
      <c r="D120" t="s">
        <v>54</v>
      </c>
      <c r="E120" t="s">
        <v>156</v>
      </c>
      <c r="F120" t="s">
        <v>56</v>
      </c>
      <c r="G120" t="s">
        <v>23</v>
      </c>
      <c r="H120">
        <v>8</v>
      </c>
      <c r="I120">
        <v>1</v>
      </c>
      <c r="J120">
        <v>4</v>
      </c>
      <c r="K120">
        <v>3</v>
      </c>
      <c r="L120">
        <v>2</v>
      </c>
      <c r="M120">
        <v>8</v>
      </c>
      <c r="N120" t="s">
        <v>24</v>
      </c>
      <c r="O120" t="s">
        <v>34</v>
      </c>
      <c r="P120" t="s">
        <v>44</v>
      </c>
      <c r="Q120">
        <v>2000000</v>
      </c>
      <c r="R120" t="s">
        <v>45</v>
      </c>
      <c r="S120" s="4">
        <v>46058</v>
      </c>
      <c r="T120" s="5" t="str">
        <f t="shared" si="1"/>
        <v>2026-02</v>
      </c>
    </row>
    <row r="121" spans="1:20" x14ac:dyDescent="0.3">
      <c r="A121" t="s">
        <v>269</v>
      </c>
      <c r="B121" t="s">
        <v>29</v>
      </c>
      <c r="C121">
        <v>31</v>
      </c>
      <c r="D121" t="s">
        <v>54</v>
      </c>
      <c r="E121" t="s">
        <v>171</v>
      </c>
      <c r="F121" t="s">
        <v>79</v>
      </c>
      <c r="G121" t="s">
        <v>41</v>
      </c>
      <c r="H121">
        <v>19</v>
      </c>
      <c r="I121">
        <v>4</v>
      </c>
      <c r="J121">
        <v>2</v>
      </c>
      <c r="K121">
        <v>4</v>
      </c>
      <c r="L121">
        <v>1</v>
      </c>
      <c r="M121">
        <v>8</v>
      </c>
      <c r="N121" t="s">
        <v>24</v>
      </c>
      <c r="O121" t="s">
        <v>107</v>
      </c>
      <c r="P121" t="s">
        <v>51</v>
      </c>
      <c r="Q121">
        <v>2000000</v>
      </c>
      <c r="R121" t="s">
        <v>126</v>
      </c>
      <c r="S121" s="4">
        <v>46086</v>
      </c>
      <c r="T121" s="5" t="str">
        <f t="shared" si="1"/>
        <v>2026-03</v>
      </c>
    </row>
    <row r="122" spans="1:20" x14ac:dyDescent="0.3">
      <c r="A122" t="s">
        <v>270</v>
      </c>
      <c r="B122" t="s">
        <v>19</v>
      </c>
      <c r="C122">
        <v>41</v>
      </c>
      <c r="D122" t="s">
        <v>20</v>
      </c>
      <c r="E122" t="s">
        <v>78</v>
      </c>
      <c r="F122" t="s">
        <v>79</v>
      </c>
      <c r="G122" t="s">
        <v>41</v>
      </c>
      <c r="H122">
        <v>21</v>
      </c>
      <c r="I122">
        <v>1</v>
      </c>
      <c r="J122">
        <v>3</v>
      </c>
      <c r="K122">
        <v>3</v>
      </c>
      <c r="L122">
        <v>4</v>
      </c>
      <c r="M122">
        <v>0</v>
      </c>
      <c r="N122" t="s">
        <v>33</v>
      </c>
      <c r="O122" t="s">
        <v>34</v>
      </c>
      <c r="P122" t="s">
        <v>44</v>
      </c>
      <c r="Q122">
        <v>250000</v>
      </c>
      <c r="R122" t="s">
        <v>36</v>
      </c>
      <c r="S122" s="4">
        <v>46166</v>
      </c>
      <c r="T122" s="5" t="str">
        <f t="shared" si="1"/>
        <v>2026-05</v>
      </c>
    </row>
    <row r="123" spans="1:20" x14ac:dyDescent="0.3">
      <c r="A123" t="s">
        <v>271</v>
      </c>
      <c r="B123" t="s">
        <v>53</v>
      </c>
      <c r="C123">
        <v>44</v>
      </c>
      <c r="D123" t="s">
        <v>20</v>
      </c>
      <c r="E123" t="s">
        <v>72</v>
      </c>
      <c r="F123" t="s">
        <v>73</v>
      </c>
      <c r="G123" t="s">
        <v>41</v>
      </c>
      <c r="H123">
        <v>22</v>
      </c>
      <c r="I123">
        <v>3</v>
      </c>
      <c r="J123">
        <v>1</v>
      </c>
      <c r="K123">
        <v>1</v>
      </c>
      <c r="L123">
        <v>5</v>
      </c>
      <c r="M123">
        <v>10</v>
      </c>
      <c r="N123" t="s">
        <v>42</v>
      </c>
      <c r="O123" t="s">
        <v>107</v>
      </c>
      <c r="P123" t="s">
        <v>44</v>
      </c>
      <c r="Q123">
        <v>500000</v>
      </c>
      <c r="R123" t="s">
        <v>45</v>
      </c>
      <c r="S123" s="4">
        <v>46160</v>
      </c>
      <c r="T123" s="5" t="str">
        <f t="shared" si="1"/>
        <v>2026-05</v>
      </c>
    </row>
    <row r="124" spans="1:20" x14ac:dyDescent="0.3">
      <c r="A124" t="s">
        <v>272</v>
      </c>
      <c r="B124" t="s">
        <v>145</v>
      </c>
      <c r="C124">
        <v>54</v>
      </c>
      <c r="D124" t="s">
        <v>30</v>
      </c>
      <c r="E124" t="s">
        <v>142</v>
      </c>
      <c r="F124" t="s">
        <v>96</v>
      </c>
      <c r="G124" t="s">
        <v>41</v>
      </c>
      <c r="H124">
        <v>23</v>
      </c>
      <c r="I124">
        <v>2</v>
      </c>
      <c r="J124">
        <v>5</v>
      </c>
      <c r="K124">
        <v>3</v>
      </c>
      <c r="L124">
        <v>4</v>
      </c>
      <c r="M124">
        <v>8</v>
      </c>
      <c r="N124" t="s">
        <v>24</v>
      </c>
      <c r="O124" t="s">
        <v>50</v>
      </c>
      <c r="P124" t="s">
        <v>44</v>
      </c>
      <c r="Q124">
        <v>5000000</v>
      </c>
      <c r="R124" t="s">
        <v>273</v>
      </c>
      <c r="S124" s="4">
        <v>46090</v>
      </c>
      <c r="T124" s="5" t="str">
        <f t="shared" si="1"/>
        <v>2026-03</v>
      </c>
    </row>
    <row r="125" spans="1:20" x14ac:dyDescent="0.3">
      <c r="A125" t="s">
        <v>274</v>
      </c>
      <c r="B125" t="s">
        <v>165</v>
      </c>
      <c r="C125">
        <v>18</v>
      </c>
      <c r="D125" t="s">
        <v>90</v>
      </c>
      <c r="E125" t="s">
        <v>140</v>
      </c>
      <c r="F125" t="s">
        <v>40</v>
      </c>
      <c r="G125" t="s">
        <v>23</v>
      </c>
      <c r="H125">
        <v>5</v>
      </c>
      <c r="I125">
        <v>3</v>
      </c>
      <c r="J125">
        <v>2</v>
      </c>
      <c r="K125">
        <v>4</v>
      </c>
      <c r="L125">
        <v>2</v>
      </c>
      <c r="M125">
        <v>10</v>
      </c>
      <c r="N125" t="s">
        <v>42</v>
      </c>
      <c r="O125" t="s">
        <v>43</v>
      </c>
      <c r="P125" t="s">
        <v>35</v>
      </c>
      <c r="Q125">
        <v>1000000</v>
      </c>
      <c r="R125" t="s">
        <v>62</v>
      </c>
      <c r="S125" s="4">
        <v>46172</v>
      </c>
      <c r="T125" s="5" t="str">
        <f t="shared" si="1"/>
        <v>2026-05</v>
      </c>
    </row>
    <row r="126" spans="1:20" x14ac:dyDescent="0.3">
      <c r="A126" t="s">
        <v>275</v>
      </c>
      <c r="B126" t="s">
        <v>159</v>
      </c>
      <c r="C126">
        <v>22</v>
      </c>
      <c r="D126" t="s">
        <v>90</v>
      </c>
      <c r="E126" t="s">
        <v>48</v>
      </c>
      <c r="F126" t="s">
        <v>49</v>
      </c>
      <c r="G126" t="s">
        <v>23</v>
      </c>
      <c r="H126">
        <v>46</v>
      </c>
      <c r="I126">
        <v>2</v>
      </c>
      <c r="J126">
        <v>3</v>
      </c>
      <c r="K126">
        <v>1</v>
      </c>
      <c r="L126">
        <v>2</v>
      </c>
      <c r="M126">
        <v>9</v>
      </c>
      <c r="N126" t="s">
        <v>42</v>
      </c>
      <c r="O126" t="s">
        <v>50</v>
      </c>
      <c r="P126" t="s">
        <v>108</v>
      </c>
      <c r="Q126">
        <v>500000</v>
      </c>
      <c r="R126" t="s">
        <v>97</v>
      </c>
      <c r="S126" s="4">
        <v>46132</v>
      </c>
      <c r="T126" s="5" t="str">
        <f t="shared" si="1"/>
        <v>2026-04</v>
      </c>
    </row>
    <row r="127" spans="1:20" x14ac:dyDescent="0.3">
      <c r="A127" t="s">
        <v>276</v>
      </c>
      <c r="B127" t="s">
        <v>151</v>
      </c>
      <c r="C127">
        <v>42</v>
      </c>
      <c r="D127" t="s">
        <v>20</v>
      </c>
      <c r="E127" t="s">
        <v>142</v>
      </c>
      <c r="F127" t="s">
        <v>96</v>
      </c>
      <c r="G127" t="s">
        <v>23</v>
      </c>
      <c r="H127">
        <v>11</v>
      </c>
      <c r="I127">
        <v>1</v>
      </c>
      <c r="J127">
        <v>5</v>
      </c>
      <c r="K127">
        <v>5</v>
      </c>
      <c r="L127">
        <v>4</v>
      </c>
      <c r="M127">
        <v>3</v>
      </c>
      <c r="N127" t="s">
        <v>33</v>
      </c>
      <c r="O127" t="s">
        <v>34</v>
      </c>
      <c r="P127" t="s">
        <v>44</v>
      </c>
      <c r="Q127">
        <v>500000</v>
      </c>
      <c r="R127" t="s">
        <v>57</v>
      </c>
      <c r="S127" s="4">
        <v>46172</v>
      </c>
      <c r="T127" s="5" t="str">
        <f t="shared" si="1"/>
        <v>2026-05</v>
      </c>
    </row>
    <row r="128" spans="1:20" x14ac:dyDescent="0.3">
      <c r="A128" t="s">
        <v>277</v>
      </c>
      <c r="B128" t="s">
        <v>102</v>
      </c>
      <c r="C128">
        <v>25</v>
      </c>
      <c r="D128" t="s">
        <v>54</v>
      </c>
      <c r="E128" t="s">
        <v>140</v>
      </c>
      <c r="F128" t="s">
        <v>40</v>
      </c>
      <c r="G128" t="s">
        <v>23</v>
      </c>
      <c r="H128">
        <v>37</v>
      </c>
      <c r="I128">
        <v>4</v>
      </c>
      <c r="J128">
        <v>4</v>
      </c>
      <c r="K128">
        <v>1</v>
      </c>
      <c r="L128">
        <v>4</v>
      </c>
      <c r="M128">
        <v>5</v>
      </c>
      <c r="N128" t="s">
        <v>33</v>
      </c>
      <c r="O128" t="s">
        <v>69</v>
      </c>
      <c r="P128" t="s">
        <v>108</v>
      </c>
      <c r="Q128">
        <v>1000000</v>
      </c>
      <c r="R128" t="s">
        <v>80</v>
      </c>
      <c r="S128" s="4">
        <v>46125</v>
      </c>
      <c r="T128" s="5" t="str">
        <f t="shared" si="1"/>
        <v>2026-04</v>
      </c>
    </row>
    <row r="129" spans="1:20" x14ac:dyDescent="0.3">
      <c r="A129" t="s">
        <v>278</v>
      </c>
      <c r="B129" t="s">
        <v>82</v>
      </c>
      <c r="C129">
        <v>32</v>
      </c>
      <c r="D129" t="s">
        <v>54</v>
      </c>
      <c r="E129" t="s">
        <v>124</v>
      </c>
      <c r="F129" t="s">
        <v>125</v>
      </c>
      <c r="G129" t="s">
        <v>23</v>
      </c>
      <c r="H129">
        <v>6</v>
      </c>
      <c r="I129">
        <v>2</v>
      </c>
      <c r="J129">
        <v>5</v>
      </c>
      <c r="K129">
        <v>3</v>
      </c>
      <c r="L129">
        <v>2</v>
      </c>
      <c r="M129">
        <v>1</v>
      </c>
      <c r="N129" t="s">
        <v>33</v>
      </c>
      <c r="O129" t="s">
        <v>25</v>
      </c>
      <c r="P129" t="s">
        <v>26</v>
      </c>
      <c r="Q129">
        <v>2000000</v>
      </c>
      <c r="R129" t="s">
        <v>87</v>
      </c>
      <c r="S129" s="4">
        <v>46115</v>
      </c>
      <c r="T129" s="5" t="str">
        <f t="shared" si="1"/>
        <v>2026-04</v>
      </c>
    </row>
    <row r="130" spans="1:20" x14ac:dyDescent="0.3">
      <c r="A130" t="s">
        <v>279</v>
      </c>
      <c r="B130" t="s">
        <v>247</v>
      </c>
      <c r="C130">
        <v>49</v>
      </c>
      <c r="D130" t="s">
        <v>30</v>
      </c>
      <c r="E130" t="s">
        <v>31</v>
      </c>
      <c r="F130" t="s">
        <v>32</v>
      </c>
      <c r="G130" t="s">
        <v>41</v>
      </c>
      <c r="H130">
        <v>3</v>
      </c>
      <c r="I130">
        <v>5</v>
      </c>
      <c r="J130">
        <v>3</v>
      </c>
      <c r="K130">
        <v>2</v>
      </c>
      <c r="L130">
        <v>2</v>
      </c>
      <c r="M130">
        <v>1</v>
      </c>
      <c r="N130" t="s">
        <v>33</v>
      </c>
      <c r="O130" t="s">
        <v>25</v>
      </c>
      <c r="P130" t="s">
        <v>44</v>
      </c>
      <c r="Q130">
        <v>100000</v>
      </c>
      <c r="R130" t="s">
        <v>121</v>
      </c>
      <c r="S130" s="4">
        <v>46079</v>
      </c>
      <c r="T130" s="5" t="str">
        <f t="shared" ref="T130:T193" si="2">TEXT(S130,"yyyy-mm")</f>
        <v>2026-02</v>
      </c>
    </row>
    <row r="131" spans="1:20" x14ac:dyDescent="0.3">
      <c r="A131" t="s">
        <v>280</v>
      </c>
      <c r="B131" t="s">
        <v>120</v>
      </c>
      <c r="C131">
        <v>48</v>
      </c>
      <c r="D131" t="s">
        <v>30</v>
      </c>
      <c r="E131" t="s">
        <v>39</v>
      </c>
      <c r="F131" t="s">
        <v>40</v>
      </c>
      <c r="G131" t="s">
        <v>41</v>
      </c>
      <c r="H131">
        <v>19</v>
      </c>
      <c r="I131">
        <v>4</v>
      </c>
      <c r="J131">
        <v>3</v>
      </c>
      <c r="K131">
        <v>3</v>
      </c>
      <c r="L131">
        <v>5</v>
      </c>
      <c r="M131">
        <v>10</v>
      </c>
      <c r="N131" t="s">
        <v>42</v>
      </c>
      <c r="O131" t="s">
        <v>43</v>
      </c>
      <c r="P131" t="s">
        <v>35</v>
      </c>
      <c r="Q131">
        <v>500000</v>
      </c>
      <c r="R131" t="s">
        <v>273</v>
      </c>
      <c r="S131" s="4">
        <v>46058</v>
      </c>
      <c r="T131" s="5" t="str">
        <f t="shared" si="2"/>
        <v>2026-02</v>
      </c>
    </row>
    <row r="132" spans="1:20" x14ac:dyDescent="0.3">
      <c r="A132" t="s">
        <v>281</v>
      </c>
      <c r="B132" t="s">
        <v>47</v>
      </c>
      <c r="C132">
        <v>42</v>
      </c>
      <c r="D132" t="s">
        <v>20</v>
      </c>
      <c r="E132" t="s">
        <v>124</v>
      </c>
      <c r="F132" t="s">
        <v>125</v>
      </c>
      <c r="G132" t="s">
        <v>23</v>
      </c>
      <c r="H132">
        <v>20</v>
      </c>
      <c r="I132">
        <v>3</v>
      </c>
      <c r="J132">
        <v>3</v>
      </c>
      <c r="K132">
        <v>5</v>
      </c>
      <c r="L132">
        <v>4</v>
      </c>
      <c r="M132">
        <v>7</v>
      </c>
      <c r="N132" t="s">
        <v>24</v>
      </c>
      <c r="O132" t="s">
        <v>25</v>
      </c>
      <c r="P132" t="s">
        <v>44</v>
      </c>
      <c r="Q132">
        <v>1000000</v>
      </c>
      <c r="R132" t="s">
        <v>186</v>
      </c>
      <c r="S132" s="4">
        <v>46153</v>
      </c>
      <c r="T132" s="5" t="str">
        <f t="shared" si="2"/>
        <v>2026-05</v>
      </c>
    </row>
    <row r="133" spans="1:20" x14ac:dyDescent="0.3">
      <c r="A133" t="s">
        <v>282</v>
      </c>
      <c r="B133" t="s">
        <v>114</v>
      </c>
      <c r="C133">
        <v>41</v>
      </c>
      <c r="D133" t="s">
        <v>20</v>
      </c>
      <c r="E133" t="s">
        <v>166</v>
      </c>
      <c r="F133" t="s">
        <v>125</v>
      </c>
      <c r="G133" t="s">
        <v>23</v>
      </c>
      <c r="H133">
        <v>2</v>
      </c>
      <c r="I133">
        <v>3</v>
      </c>
      <c r="J133">
        <v>4</v>
      </c>
      <c r="K133">
        <v>1</v>
      </c>
      <c r="L133">
        <v>3</v>
      </c>
      <c r="M133">
        <v>5</v>
      </c>
      <c r="N133" t="s">
        <v>33</v>
      </c>
      <c r="O133" t="s">
        <v>25</v>
      </c>
      <c r="P133" t="s">
        <v>35</v>
      </c>
      <c r="Q133">
        <v>500000</v>
      </c>
      <c r="R133" t="s">
        <v>57</v>
      </c>
      <c r="S133" s="4">
        <v>46149</v>
      </c>
      <c r="T133" s="5" t="str">
        <f t="shared" si="2"/>
        <v>2026-05</v>
      </c>
    </row>
    <row r="134" spans="1:20" x14ac:dyDescent="0.3">
      <c r="A134" t="s">
        <v>283</v>
      </c>
      <c r="B134" t="s">
        <v>112</v>
      </c>
      <c r="C134">
        <v>19</v>
      </c>
      <c r="D134" t="s">
        <v>90</v>
      </c>
      <c r="E134" t="s">
        <v>105</v>
      </c>
      <c r="F134" t="s">
        <v>106</v>
      </c>
      <c r="G134" t="s">
        <v>41</v>
      </c>
      <c r="H134">
        <v>30</v>
      </c>
      <c r="I134">
        <v>5</v>
      </c>
      <c r="J134">
        <v>4</v>
      </c>
      <c r="K134">
        <v>3</v>
      </c>
      <c r="L134">
        <v>5</v>
      </c>
      <c r="M134">
        <v>6</v>
      </c>
      <c r="N134" t="s">
        <v>33</v>
      </c>
      <c r="O134" t="s">
        <v>69</v>
      </c>
      <c r="P134" t="s">
        <v>108</v>
      </c>
      <c r="Q134">
        <v>500000</v>
      </c>
      <c r="R134" t="s">
        <v>92</v>
      </c>
      <c r="S134" s="4">
        <v>46046</v>
      </c>
      <c r="T134" s="5" t="str">
        <f t="shared" si="2"/>
        <v>2026-01</v>
      </c>
    </row>
    <row r="135" spans="1:20" x14ac:dyDescent="0.3">
      <c r="A135" t="s">
        <v>284</v>
      </c>
      <c r="B135" t="s">
        <v>59</v>
      </c>
      <c r="C135">
        <v>25</v>
      </c>
      <c r="D135" t="s">
        <v>54</v>
      </c>
      <c r="E135" t="s">
        <v>78</v>
      </c>
      <c r="F135" t="s">
        <v>79</v>
      </c>
      <c r="G135" t="s">
        <v>23</v>
      </c>
      <c r="H135">
        <v>45</v>
      </c>
      <c r="I135">
        <v>5</v>
      </c>
      <c r="J135">
        <v>4</v>
      </c>
      <c r="K135">
        <v>2</v>
      </c>
      <c r="L135">
        <v>3</v>
      </c>
      <c r="M135">
        <v>3</v>
      </c>
      <c r="N135" t="s">
        <v>33</v>
      </c>
      <c r="O135" t="s">
        <v>69</v>
      </c>
      <c r="P135" t="s">
        <v>44</v>
      </c>
      <c r="Q135">
        <v>250000</v>
      </c>
      <c r="R135" t="s">
        <v>57</v>
      </c>
      <c r="S135" s="4">
        <v>46035</v>
      </c>
      <c r="T135" s="5" t="str">
        <f t="shared" si="2"/>
        <v>2026-01</v>
      </c>
    </row>
    <row r="136" spans="1:20" x14ac:dyDescent="0.3">
      <c r="A136" t="s">
        <v>285</v>
      </c>
      <c r="B136" t="s">
        <v>99</v>
      </c>
      <c r="C136">
        <v>39</v>
      </c>
      <c r="D136" t="s">
        <v>20</v>
      </c>
      <c r="E136" t="s">
        <v>115</v>
      </c>
      <c r="F136" t="s">
        <v>22</v>
      </c>
      <c r="G136" t="s">
        <v>23</v>
      </c>
      <c r="H136">
        <v>44</v>
      </c>
      <c r="I136">
        <v>1</v>
      </c>
      <c r="J136">
        <v>2</v>
      </c>
      <c r="K136">
        <v>5</v>
      </c>
      <c r="L136">
        <v>2</v>
      </c>
      <c r="M136">
        <v>7</v>
      </c>
      <c r="N136" t="s">
        <v>24</v>
      </c>
      <c r="O136" t="s">
        <v>34</v>
      </c>
      <c r="P136" t="s">
        <v>44</v>
      </c>
      <c r="Q136">
        <v>100000</v>
      </c>
      <c r="R136" t="s">
        <v>186</v>
      </c>
      <c r="S136" s="4">
        <v>46051</v>
      </c>
      <c r="T136" s="5" t="str">
        <f t="shared" si="2"/>
        <v>2026-01</v>
      </c>
    </row>
    <row r="137" spans="1:20" x14ac:dyDescent="0.3">
      <c r="A137" t="s">
        <v>286</v>
      </c>
      <c r="B137" t="s">
        <v>29</v>
      </c>
      <c r="C137">
        <v>56</v>
      </c>
      <c r="D137" t="s">
        <v>83</v>
      </c>
      <c r="E137" t="s">
        <v>60</v>
      </c>
      <c r="F137" t="s">
        <v>61</v>
      </c>
      <c r="G137" t="s">
        <v>23</v>
      </c>
      <c r="H137">
        <v>22</v>
      </c>
      <c r="I137">
        <v>3</v>
      </c>
      <c r="J137">
        <v>5</v>
      </c>
      <c r="K137">
        <v>5</v>
      </c>
      <c r="L137">
        <v>5</v>
      </c>
      <c r="M137">
        <v>9</v>
      </c>
      <c r="N137" t="s">
        <v>42</v>
      </c>
      <c r="O137" t="s">
        <v>25</v>
      </c>
      <c r="P137" t="s">
        <v>51</v>
      </c>
      <c r="Q137">
        <v>1000000</v>
      </c>
      <c r="R137" t="s">
        <v>126</v>
      </c>
      <c r="S137" s="4">
        <v>46062</v>
      </c>
      <c r="T137" s="5" t="str">
        <f t="shared" si="2"/>
        <v>2026-02</v>
      </c>
    </row>
    <row r="138" spans="1:20" x14ac:dyDescent="0.3">
      <c r="A138" t="s">
        <v>287</v>
      </c>
      <c r="B138" t="s">
        <v>149</v>
      </c>
      <c r="C138">
        <v>32</v>
      </c>
      <c r="D138" t="s">
        <v>54</v>
      </c>
      <c r="E138" t="s">
        <v>78</v>
      </c>
      <c r="F138" t="s">
        <v>79</v>
      </c>
      <c r="G138" t="s">
        <v>23</v>
      </c>
      <c r="H138">
        <v>46</v>
      </c>
      <c r="I138">
        <v>3</v>
      </c>
      <c r="J138">
        <v>3</v>
      </c>
      <c r="K138">
        <v>3</v>
      </c>
      <c r="L138">
        <v>3</v>
      </c>
      <c r="M138">
        <v>3</v>
      </c>
      <c r="N138" t="s">
        <v>33</v>
      </c>
      <c r="O138" t="s">
        <v>107</v>
      </c>
      <c r="P138" t="s">
        <v>44</v>
      </c>
      <c r="Q138">
        <v>250000</v>
      </c>
      <c r="R138" t="s">
        <v>36</v>
      </c>
      <c r="S138" s="4">
        <v>46183</v>
      </c>
      <c r="T138" s="5" t="str">
        <f t="shared" si="2"/>
        <v>2026-06</v>
      </c>
    </row>
    <row r="139" spans="1:20" x14ac:dyDescent="0.3">
      <c r="A139" t="s">
        <v>288</v>
      </c>
      <c r="B139" t="s">
        <v>19</v>
      </c>
      <c r="C139">
        <v>65</v>
      </c>
      <c r="D139" t="s">
        <v>83</v>
      </c>
      <c r="E139" t="s">
        <v>166</v>
      </c>
      <c r="F139" t="s">
        <v>125</v>
      </c>
      <c r="G139" t="s">
        <v>23</v>
      </c>
      <c r="H139">
        <v>19</v>
      </c>
      <c r="I139">
        <v>5</v>
      </c>
      <c r="J139">
        <v>2</v>
      </c>
      <c r="K139">
        <v>3</v>
      </c>
      <c r="L139">
        <v>3</v>
      </c>
      <c r="M139">
        <v>9</v>
      </c>
      <c r="N139" t="s">
        <v>42</v>
      </c>
      <c r="O139" t="s">
        <v>50</v>
      </c>
      <c r="P139" t="s">
        <v>26</v>
      </c>
      <c r="Q139">
        <v>100000</v>
      </c>
      <c r="R139" t="s">
        <v>273</v>
      </c>
      <c r="S139" s="4">
        <v>46063</v>
      </c>
      <c r="T139" s="5" t="str">
        <f t="shared" si="2"/>
        <v>2026-02</v>
      </c>
    </row>
    <row r="140" spans="1:20" x14ac:dyDescent="0.3">
      <c r="A140" t="s">
        <v>289</v>
      </c>
      <c r="B140" t="s">
        <v>173</v>
      </c>
      <c r="C140">
        <v>65</v>
      </c>
      <c r="D140" t="s">
        <v>83</v>
      </c>
      <c r="E140" t="s">
        <v>218</v>
      </c>
      <c r="F140" t="s">
        <v>161</v>
      </c>
      <c r="G140" t="s">
        <v>41</v>
      </c>
      <c r="H140">
        <v>22</v>
      </c>
      <c r="I140">
        <v>5</v>
      </c>
      <c r="J140">
        <v>2</v>
      </c>
      <c r="K140">
        <v>2</v>
      </c>
      <c r="L140">
        <v>2</v>
      </c>
      <c r="M140">
        <v>0</v>
      </c>
      <c r="N140" t="s">
        <v>33</v>
      </c>
      <c r="O140" t="s">
        <v>107</v>
      </c>
      <c r="P140" t="s">
        <v>51</v>
      </c>
      <c r="Q140">
        <v>1000000</v>
      </c>
      <c r="R140" t="s">
        <v>87</v>
      </c>
      <c r="S140" s="4">
        <v>46197</v>
      </c>
      <c r="T140" s="5" t="str">
        <f t="shared" si="2"/>
        <v>2026-06</v>
      </c>
    </row>
    <row r="141" spans="1:20" x14ac:dyDescent="0.3">
      <c r="A141" t="s">
        <v>290</v>
      </c>
      <c r="B141" t="s">
        <v>120</v>
      </c>
      <c r="C141">
        <v>53</v>
      </c>
      <c r="D141" t="s">
        <v>30</v>
      </c>
      <c r="E141" t="s">
        <v>49</v>
      </c>
      <c r="F141" t="s">
        <v>49</v>
      </c>
      <c r="G141" t="s">
        <v>23</v>
      </c>
      <c r="H141">
        <v>11</v>
      </c>
      <c r="I141">
        <v>5</v>
      </c>
      <c r="J141">
        <v>5</v>
      </c>
      <c r="K141">
        <v>5</v>
      </c>
      <c r="L141">
        <v>3</v>
      </c>
      <c r="M141">
        <v>1</v>
      </c>
      <c r="N141" t="s">
        <v>33</v>
      </c>
      <c r="O141" t="s">
        <v>34</v>
      </c>
      <c r="P141" t="s">
        <v>44</v>
      </c>
      <c r="Q141">
        <v>50000</v>
      </c>
      <c r="R141" t="s">
        <v>121</v>
      </c>
      <c r="S141" s="4">
        <v>46131</v>
      </c>
      <c r="T141" s="5" t="str">
        <f t="shared" si="2"/>
        <v>2026-04</v>
      </c>
    </row>
    <row r="142" spans="1:20" x14ac:dyDescent="0.3">
      <c r="A142" t="s">
        <v>291</v>
      </c>
      <c r="B142" t="s">
        <v>259</v>
      </c>
      <c r="C142">
        <v>24</v>
      </c>
      <c r="D142" t="s">
        <v>90</v>
      </c>
      <c r="E142" t="s">
        <v>49</v>
      </c>
      <c r="F142" t="s">
        <v>49</v>
      </c>
      <c r="G142" t="s">
        <v>23</v>
      </c>
      <c r="H142">
        <v>23</v>
      </c>
      <c r="I142">
        <v>4</v>
      </c>
      <c r="J142">
        <v>1</v>
      </c>
      <c r="K142">
        <v>4</v>
      </c>
      <c r="L142">
        <v>3</v>
      </c>
      <c r="M142">
        <v>4</v>
      </c>
      <c r="N142" t="s">
        <v>33</v>
      </c>
      <c r="O142" t="s">
        <v>25</v>
      </c>
      <c r="P142" t="s">
        <v>26</v>
      </c>
      <c r="Q142">
        <v>100000</v>
      </c>
      <c r="R142" t="s">
        <v>87</v>
      </c>
      <c r="S142" s="4">
        <v>46175</v>
      </c>
      <c r="T142" s="5" t="str">
        <f t="shared" si="2"/>
        <v>2026-06</v>
      </c>
    </row>
    <row r="143" spans="1:20" x14ac:dyDescent="0.3">
      <c r="A143" t="s">
        <v>292</v>
      </c>
      <c r="B143" t="s">
        <v>176</v>
      </c>
      <c r="C143">
        <v>25</v>
      </c>
      <c r="D143" t="s">
        <v>54</v>
      </c>
      <c r="E143" t="s">
        <v>105</v>
      </c>
      <c r="F143" t="s">
        <v>106</v>
      </c>
      <c r="G143" t="s">
        <v>23</v>
      </c>
      <c r="H143">
        <v>37</v>
      </c>
      <c r="I143">
        <v>1</v>
      </c>
      <c r="J143">
        <v>2</v>
      </c>
      <c r="K143">
        <v>1</v>
      </c>
      <c r="L143">
        <v>1</v>
      </c>
      <c r="M143">
        <v>4</v>
      </c>
      <c r="N143" t="s">
        <v>33</v>
      </c>
      <c r="O143" t="s">
        <v>43</v>
      </c>
      <c r="P143" t="s">
        <v>35</v>
      </c>
      <c r="Q143">
        <v>500000</v>
      </c>
      <c r="R143" t="s">
        <v>36</v>
      </c>
      <c r="S143" s="4">
        <v>46039</v>
      </c>
      <c r="T143" s="5" t="str">
        <f t="shared" si="2"/>
        <v>2026-01</v>
      </c>
    </row>
    <row r="144" spans="1:20" x14ac:dyDescent="0.3">
      <c r="A144" t="s">
        <v>293</v>
      </c>
      <c r="B144" t="s">
        <v>247</v>
      </c>
      <c r="C144">
        <v>31</v>
      </c>
      <c r="D144" t="s">
        <v>54</v>
      </c>
      <c r="E144" t="s">
        <v>48</v>
      </c>
      <c r="F144" t="s">
        <v>49</v>
      </c>
      <c r="G144" t="s">
        <v>41</v>
      </c>
      <c r="H144">
        <v>9</v>
      </c>
      <c r="I144">
        <v>5</v>
      </c>
      <c r="J144">
        <v>1</v>
      </c>
      <c r="K144">
        <v>1</v>
      </c>
      <c r="L144">
        <v>2</v>
      </c>
      <c r="M144">
        <v>5</v>
      </c>
      <c r="N144" t="s">
        <v>33</v>
      </c>
      <c r="O144" t="s">
        <v>69</v>
      </c>
      <c r="P144" t="s">
        <v>51</v>
      </c>
      <c r="Q144">
        <v>5000000</v>
      </c>
      <c r="R144" t="s">
        <v>57</v>
      </c>
      <c r="S144" s="4">
        <v>46121</v>
      </c>
      <c r="T144" s="5" t="str">
        <f t="shared" si="2"/>
        <v>2026-04</v>
      </c>
    </row>
    <row r="145" spans="1:20" x14ac:dyDescent="0.3">
      <c r="A145" t="s">
        <v>294</v>
      </c>
      <c r="B145" t="s">
        <v>86</v>
      </c>
      <c r="C145">
        <v>39</v>
      </c>
      <c r="D145" t="s">
        <v>20</v>
      </c>
      <c r="E145" t="s">
        <v>134</v>
      </c>
      <c r="F145" t="s">
        <v>73</v>
      </c>
      <c r="G145" t="s">
        <v>23</v>
      </c>
      <c r="H145">
        <v>22</v>
      </c>
      <c r="I145">
        <v>5</v>
      </c>
      <c r="J145">
        <v>5</v>
      </c>
      <c r="K145">
        <v>4</v>
      </c>
      <c r="L145">
        <v>2</v>
      </c>
      <c r="M145">
        <v>5</v>
      </c>
      <c r="N145" t="s">
        <v>33</v>
      </c>
      <c r="O145" t="s">
        <v>43</v>
      </c>
      <c r="P145" t="s">
        <v>108</v>
      </c>
      <c r="Q145">
        <v>2000000</v>
      </c>
      <c r="R145" t="s">
        <v>87</v>
      </c>
      <c r="S145" s="4">
        <v>46120</v>
      </c>
      <c r="T145" s="5" t="str">
        <f t="shared" si="2"/>
        <v>2026-04</v>
      </c>
    </row>
    <row r="146" spans="1:20" x14ac:dyDescent="0.3">
      <c r="A146" t="s">
        <v>295</v>
      </c>
      <c r="B146" t="s">
        <v>68</v>
      </c>
      <c r="C146">
        <v>53</v>
      </c>
      <c r="D146" t="s">
        <v>30</v>
      </c>
      <c r="E146" t="s">
        <v>166</v>
      </c>
      <c r="F146" t="s">
        <v>125</v>
      </c>
      <c r="G146" t="s">
        <v>23</v>
      </c>
      <c r="H146">
        <v>20</v>
      </c>
      <c r="I146">
        <v>5</v>
      </c>
      <c r="J146">
        <v>2</v>
      </c>
      <c r="K146">
        <v>1</v>
      </c>
      <c r="L146">
        <v>3</v>
      </c>
      <c r="M146">
        <v>5</v>
      </c>
      <c r="N146" t="s">
        <v>33</v>
      </c>
      <c r="O146" t="s">
        <v>50</v>
      </c>
      <c r="P146" t="s">
        <v>51</v>
      </c>
      <c r="Q146">
        <v>100000</v>
      </c>
      <c r="R146" t="s">
        <v>87</v>
      </c>
      <c r="S146" s="4">
        <v>46175</v>
      </c>
      <c r="T146" s="5" t="str">
        <f t="shared" si="2"/>
        <v>2026-06</v>
      </c>
    </row>
    <row r="147" spans="1:20" x14ac:dyDescent="0.3">
      <c r="A147" t="s">
        <v>296</v>
      </c>
      <c r="B147" t="s">
        <v>77</v>
      </c>
      <c r="C147">
        <v>21</v>
      </c>
      <c r="D147" t="s">
        <v>90</v>
      </c>
      <c r="E147" t="s">
        <v>31</v>
      </c>
      <c r="F147" t="s">
        <v>32</v>
      </c>
      <c r="G147" t="s">
        <v>23</v>
      </c>
      <c r="H147">
        <v>19</v>
      </c>
      <c r="I147">
        <v>2</v>
      </c>
      <c r="J147">
        <v>5</v>
      </c>
      <c r="K147">
        <v>5</v>
      </c>
      <c r="L147">
        <v>3</v>
      </c>
      <c r="M147">
        <v>0</v>
      </c>
      <c r="N147" t="s">
        <v>33</v>
      </c>
      <c r="O147" t="s">
        <v>34</v>
      </c>
      <c r="P147" t="s">
        <v>35</v>
      </c>
      <c r="Q147">
        <v>100000</v>
      </c>
      <c r="R147" t="s">
        <v>121</v>
      </c>
      <c r="S147" s="4">
        <v>46142</v>
      </c>
      <c r="T147" s="5" t="str">
        <f t="shared" si="2"/>
        <v>2026-04</v>
      </c>
    </row>
    <row r="148" spans="1:20" x14ac:dyDescent="0.3">
      <c r="A148" t="s">
        <v>297</v>
      </c>
      <c r="B148" t="s">
        <v>215</v>
      </c>
      <c r="C148">
        <v>29</v>
      </c>
      <c r="D148" t="s">
        <v>54</v>
      </c>
      <c r="E148" t="s">
        <v>163</v>
      </c>
      <c r="F148" t="s">
        <v>161</v>
      </c>
      <c r="G148" t="s">
        <v>41</v>
      </c>
      <c r="H148">
        <v>14</v>
      </c>
      <c r="I148">
        <v>3</v>
      </c>
      <c r="J148">
        <v>4</v>
      </c>
      <c r="K148">
        <v>3</v>
      </c>
      <c r="L148">
        <v>2</v>
      </c>
      <c r="M148">
        <v>4</v>
      </c>
      <c r="N148" t="s">
        <v>33</v>
      </c>
      <c r="O148" t="s">
        <v>25</v>
      </c>
      <c r="P148" t="s">
        <v>35</v>
      </c>
      <c r="Q148">
        <v>2000000</v>
      </c>
      <c r="R148" t="s">
        <v>66</v>
      </c>
      <c r="S148" s="4">
        <v>46158</v>
      </c>
      <c r="T148" s="5" t="str">
        <f t="shared" si="2"/>
        <v>2026-05</v>
      </c>
    </row>
    <row r="149" spans="1:20" x14ac:dyDescent="0.3">
      <c r="A149" t="s">
        <v>298</v>
      </c>
      <c r="B149" t="s">
        <v>217</v>
      </c>
      <c r="C149">
        <v>62</v>
      </c>
      <c r="D149" t="s">
        <v>83</v>
      </c>
      <c r="E149" t="s">
        <v>78</v>
      </c>
      <c r="F149" t="s">
        <v>79</v>
      </c>
      <c r="G149" t="s">
        <v>23</v>
      </c>
      <c r="H149">
        <v>2</v>
      </c>
      <c r="I149">
        <v>5</v>
      </c>
      <c r="J149">
        <v>4</v>
      </c>
      <c r="K149">
        <v>5</v>
      </c>
      <c r="L149">
        <v>4</v>
      </c>
      <c r="M149">
        <v>8</v>
      </c>
      <c r="N149" t="s">
        <v>24</v>
      </c>
      <c r="O149" t="s">
        <v>69</v>
      </c>
      <c r="P149" t="s">
        <v>35</v>
      </c>
      <c r="Q149">
        <v>50000</v>
      </c>
      <c r="R149" t="s">
        <v>126</v>
      </c>
      <c r="S149" s="4">
        <v>46087</v>
      </c>
      <c r="T149" s="5" t="str">
        <f t="shared" si="2"/>
        <v>2026-03</v>
      </c>
    </row>
    <row r="150" spans="1:20" x14ac:dyDescent="0.3">
      <c r="A150" t="s">
        <v>299</v>
      </c>
      <c r="B150" t="s">
        <v>259</v>
      </c>
      <c r="C150">
        <v>41</v>
      </c>
      <c r="D150" t="s">
        <v>20</v>
      </c>
      <c r="E150" t="s">
        <v>142</v>
      </c>
      <c r="F150" t="s">
        <v>96</v>
      </c>
      <c r="G150" t="s">
        <v>41</v>
      </c>
      <c r="H150">
        <v>32</v>
      </c>
      <c r="I150">
        <v>5</v>
      </c>
      <c r="J150">
        <v>1</v>
      </c>
      <c r="K150">
        <v>2</v>
      </c>
      <c r="L150">
        <v>1</v>
      </c>
      <c r="M150">
        <v>10</v>
      </c>
      <c r="N150" t="s">
        <v>42</v>
      </c>
      <c r="O150" t="s">
        <v>50</v>
      </c>
      <c r="P150" t="s">
        <v>26</v>
      </c>
      <c r="Q150">
        <v>500000</v>
      </c>
      <c r="R150" t="s">
        <v>208</v>
      </c>
      <c r="S150" s="4">
        <v>46164</v>
      </c>
      <c r="T150" s="5" t="str">
        <f t="shared" si="2"/>
        <v>2026-05</v>
      </c>
    </row>
    <row r="151" spans="1:20" x14ac:dyDescent="0.3">
      <c r="A151" t="s">
        <v>300</v>
      </c>
      <c r="B151" t="s">
        <v>183</v>
      </c>
      <c r="C151">
        <v>36</v>
      </c>
      <c r="D151" t="s">
        <v>20</v>
      </c>
      <c r="E151" t="s">
        <v>31</v>
      </c>
      <c r="F151" t="s">
        <v>32</v>
      </c>
      <c r="G151" t="s">
        <v>41</v>
      </c>
      <c r="H151">
        <v>24</v>
      </c>
      <c r="I151">
        <v>2</v>
      </c>
      <c r="J151">
        <v>3</v>
      </c>
      <c r="K151">
        <v>1</v>
      </c>
      <c r="L151">
        <v>2</v>
      </c>
      <c r="M151">
        <v>3</v>
      </c>
      <c r="N151" t="s">
        <v>33</v>
      </c>
      <c r="O151" t="s">
        <v>107</v>
      </c>
      <c r="P151" t="s">
        <v>108</v>
      </c>
      <c r="Q151">
        <v>50000</v>
      </c>
      <c r="R151" t="s">
        <v>87</v>
      </c>
      <c r="S151" s="4">
        <v>46025</v>
      </c>
      <c r="T151" s="5" t="str">
        <f t="shared" si="2"/>
        <v>2026-01</v>
      </c>
    </row>
    <row r="152" spans="1:20" x14ac:dyDescent="0.3">
      <c r="A152" t="s">
        <v>301</v>
      </c>
      <c r="B152" t="s">
        <v>179</v>
      </c>
      <c r="C152">
        <v>42</v>
      </c>
      <c r="D152" t="s">
        <v>20</v>
      </c>
      <c r="E152" t="s">
        <v>55</v>
      </c>
      <c r="F152" t="s">
        <v>56</v>
      </c>
      <c r="G152" t="s">
        <v>41</v>
      </c>
      <c r="H152">
        <v>13</v>
      </c>
      <c r="I152">
        <v>3</v>
      </c>
      <c r="J152">
        <v>2</v>
      </c>
      <c r="K152">
        <v>4</v>
      </c>
      <c r="L152">
        <v>3</v>
      </c>
      <c r="M152">
        <v>2</v>
      </c>
      <c r="N152" t="s">
        <v>33</v>
      </c>
      <c r="O152" t="s">
        <v>107</v>
      </c>
      <c r="P152" t="s">
        <v>35</v>
      </c>
      <c r="Q152">
        <v>100000</v>
      </c>
      <c r="R152" t="s">
        <v>121</v>
      </c>
      <c r="S152" s="4">
        <v>46197</v>
      </c>
      <c r="T152" s="5" t="str">
        <f t="shared" si="2"/>
        <v>2026-06</v>
      </c>
    </row>
    <row r="153" spans="1:20" x14ac:dyDescent="0.3">
      <c r="A153" t="s">
        <v>302</v>
      </c>
      <c r="B153" t="s">
        <v>94</v>
      </c>
      <c r="C153">
        <v>18</v>
      </c>
      <c r="D153" t="s">
        <v>90</v>
      </c>
      <c r="E153" t="s">
        <v>163</v>
      </c>
      <c r="F153" t="s">
        <v>161</v>
      </c>
      <c r="G153" t="s">
        <v>41</v>
      </c>
      <c r="H153">
        <v>14</v>
      </c>
      <c r="I153">
        <v>2</v>
      </c>
      <c r="J153">
        <v>3</v>
      </c>
      <c r="K153">
        <v>4</v>
      </c>
      <c r="L153">
        <v>5</v>
      </c>
      <c r="M153">
        <v>1</v>
      </c>
      <c r="N153" t="s">
        <v>33</v>
      </c>
      <c r="O153" t="s">
        <v>34</v>
      </c>
      <c r="P153" t="s">
        <v>35</v>
      </c>
      <c r="Q153">
        <v>50000</v>
      </c>
      <c r="R153" t="s">
        <v>121</v>
      </c>
      <c r="S153" s="4">
        <v>46052</v>
      </c>
      <c r="T153" s="5" t="str">
        <f t="shared" si="2"/>
        <v>2026-01</v>
      </c>
    </row>
    <row r="154" spans="1:20" x14ac:dyDescent="0.3">
      <c r="A154" t="s">
        <v>303</v>
      </c>
      <c r="B154" t="s">
        <v>99</v>
      </c>
      <c r="C154">
        <v>46</v>
      </c>
      <c r="D154" t="s">
        <v>30</v>
      </c>
      <c r="E154" t="s">
        <v>55</v>
      </c>
      <c r="F154" t="s">
        <v>56</v>
      </c>
      <c r="G154" t="s">
        <v>41</v>
      </c>
      <c r="H154">
        <v>1</v>
      </c>
      <c r="I154">
        <v>4</v>
      </c>
      <c r="J154">
        <v>1</v>
      </c>
      <c r="K154">
        <v>1</v>
      </c>
      <c r="L154">
        <v>4</v>
      </c>
      <c r="M154">
        <v>7</v>
      </c>
      <c r="N154" t="s">
        <v>24</v>
      </c>
      <c r="O154" t="s">
        <v>50</v>
      </c>
      <c r="P154" t="s">
        <v>108</v>
      </c>
      <c r="Q154">
        <v>500000</v>
      </c>
      <c r="R154" t="s">
        <v>27</v>
      </c>
      <c r="S154" s="4">
        <v>46197</v>
      </c>
      <c r="T154" s="5" t="str">
        <f t="shared" si="2"/>
        <v>2026-06</v>
      </c>
    </row>
    <row r="155" spans="1:20" x14ac:dyDescent="0.3">
      <c r="A155" t="s">
        <v>304</v>
      </c>
      <c r="B155" t="s">
        <v>110</v>
      </c>
      <c r="C155">
        <v>65</v>
      </c>
      <c r="D155" t="s">
        <v>83</v>
      </c>
      <c r="E155" t="s">
        <v>142</v>
      </c>
      <c r="F155" t="s">
        <v>96</v>
      </c>
      <c r="G155" t="s">
        <v>41</v>
      </c>
      <c r="H155">
        <v>24</v>
      </c>
      <c r="I155">
        <v>3</v>
      </c>
      <c r="J155">
        <v>2</v>
      </c>
      <c r="K155">
        <v>1</v>
      </c>
      <c r="L155">
        <v>2</v>
      </c>
      <c r="M155">
        <v>4</v>
      </c>
      <c r="N155" t="s">
        <v>33</v>
      </c>
      <c r="O155" t="s">
        <v>34</v>
      </c>
      <c r="P155" t="s">
        <v>35</v>
      </c>
      <c r="Q155">
        <v>100000</v>
      </c>
      <c r="R155" t="s">
        <v>80</v>
      </c>
      <c r="S155" s="4">
        <v>46160</v>
      </c>
      <c r="T155" s="5" t="str">
        <f t="shared" si="2"/>
        <v>2026-05</v>
      </c>
    </row>
    <row r="156" spans="1:20" x14ac:dyDescent="0.3">
      <c r="A156" t="s">
        <v>305</v>
      </c>
      <c r="B156" t="s">
        <v>220</v>
      </c>
      <c r="C156">
        <v>52</v>
      </c>
      <c r="D156" t="s">
        <v>30</v>
      </c>
      <c r="E156" t="s">
        <v>48</v>
      </c>
      <c r="F156" t="s">
        <v>49</v>
      </c>
      <c r="G156" t="s">
        <v>41</v>
      </c>
      <c r="H156">
        <v>18</v>
      </c>
      <c r="I156">
        <v>3</v>
      </c>
      <c r="J156">
        <v>4</v>
      </c>
      <c r="K156">
        <v>2</v>
      </c>
      <c r="L156">
        <v>2</v>
      </c>
      <c r="M156">
        <v>0</v>
      </c>
      <c r="N156" t="s">
        <v>33</v>
      </c>
      <c r="O156" t="s">
        <v>34</v>
      </c>
      <c r="P156" t="s">
        <v>108</v>
      </c>
      <c r="Q156">
        <v>2000000</v>
      </c>
      <c r="R156" t="s">
        <v>121</v>
      </c>
      <c r="S156" s="4">
        <v>46091</v>
      </c>
      <c r="T156" s="5" t="str">
        <f t="shared" si="2"/>
        <v>2026-03</v>
      </c>
    </row>
    <row r="157" spans="1:20" x14ac:dyDescent="0.3">
      <c r="A157" t="s">
        <v>306</v>
      </c>
      <c r="B157" t="s">
        <v>220</v>
      </c>
      <c r="C157">
        <v>21</v>
      </c>
      <c r="D157" t="s">
        <v>90</v>
      </c>
      <c r="E157" t="s">
        <v>55</v>
      </c>
      <c r="F157" t="s">
        <v>56</v>
      </c>
      <c r="G157" t="s">
        <v>23</v>
      </c>
      <c r="H157">
        <v>43</v>
      </c>
      <c r="I157">
        <v>5</v>
      </c>
      <c r="J157">
        <v>1</v>
      </c>
      <c r="K157">
        <v>1</v>
      </c>
      <c r="L157">
        <v>4</v>
      </c>
      <c r="M157">
        <v>2</v>
      </c>
      <c r="N157" t="s">
        <v>33</v>
      </c>
      <c r="O157" t="s">
        <v>43</v>
      </c>
      <c r="P157" t="s">
        <v>26</v>
      </c>
      <c r="Q157">
        <v>5000000</v>
      </c>
      <c r="R157" t="s">
        <v>121</v>
      </c>
      <c r="S157" s="4">
        <v>46187</v>
      </c>
      <c r="T157" s="5" t="str">
        <f t="shared" si="2"/>
        <v>2026-06</v>
      </c>
    </row>
    <row r="158" spans="1:20" x14ac:dyDescent="0.3">
      <c r="A158" t="s">
        <v>307</v>
      </c>
      <c r="B158" t="s">
        <v>147</v>
      </c>
      <c r="C158">
        <v>63</v>
      </c>
      <c r="D158" t="s">
        <v>83</v>
      </c>
      <c r="E158" t="s">
        <v>160</v>
      </c>
      <c r="F158" t="s">
        <v>161</v>
      </c>
      <c r="G158" t="s">
        <v>23</v>
      </c>
      <c r="H158">
        <v>42</v>
      </c>
      <c r="I158">
        <v>4</v>
      </c>
      <c r="J158">
        <v>3</v>
      </c>
      <c r="K158">
        <v>5</v>
      </c>
      <c r="L158">
        <v>4</v>
      </c>
      <c r="M158">
        <v>1</v>
      </c>
      <c r="N158" t="s">
        <v>33</v>
      </c>
      <c r="O158" t="s">
        <v>25</v>
      </c>
      <c r="P158" t="s">
        <v>26</v>
      </c>
      <c r="Q158">
        <v>2000000</v>
      </c>
      <c r="R158" t="s">
        <v>66</v>
      </c>
      <c r="S158" s="4">
        <v>46110</v>
      </c>
      <c r="T158" s="5" t="str">
        <f t="shared" si="2"/>
        <v>2026-03</v>
      </c>
    </row>
    <row r="159" spans="1:20" x14ac:dyDescent="0.3">
      <c r="A159" t="s">
        <v>308</v>
      </c>
      <c r="B159" t="s">
        <v>94</v>
      </c>
      <c r="C159">
        <v>56</v>
      </c>
      <c r="D159" t="s">
        <v>83</v>
      </c>
      <c r="E159" t="s">
        <v>166</v>
      </c>
      <c r="F159" t="s">
        <v>125</v>
      </c>
      <c r="G159" t="s">
        <v>23</v>
      </c>
      <c r="H159">
        <v>41</v>
      </c>
      <c r="I159">
        <v>5</v>
      </c>
      <c r="J159">
        <v>2</v>
      </c>
      <c r="K159">
        <v>3</v>
      </c>
      <c r="L159">
        <v>1</v>
      </c>
      <c r="M159">
        <v>6</v>
      </c>
      <c r="N159" t="s">
        <v>33</v>
      </c>
      <c r="O159" t="s">
        <v>34</v>
      </c>
      <c r="P159" t="s">
        <v>51</v>
      </c>
      <c r="Q159">
        <v>1000000</v>
      </c>
      <c r="R159" t="s">
        <v>27</v>
      </c>
      <c r="S159" s="4">
        <v>46051</v>
      </c>
      <c r="T159" s="5" t="str">
        <f t="shared" si="2"/>
        <v>2026-01</v>
      </c>
    </row>
    <row r="160" spans="1:20" x14ac:dyDescent="0.3">
      <c r="A160" t="s">
        <v>309</v>
      </c>
      <c r="B160" t="s">
        <v>59</v>
      </c>
      <c r="C160">
        <v>38</v>
      </c>
      <c r="D160" t="s">
        <v>20</v>
      </c>
      <c r="E160" t="s">
        <v>171</v>
      </c>
      <c r="F160" t="s">
        <v>79</v>
      </c>
      <c r="G160" t="s">
        <v>23</v>
      </c>
      <c r="H160">
        <v>3</v>
      </c>
      <c r="I160">
        <v>5</v>
      </c>
      <c r="J160">
        <v>1</v>
      </c>
      <c r="K160">
        <v>2</v>
      </c>
      <c r="L160">
        <v>2</v>
      </c>
      <c r="M160">
        <v>5</v>
      </c>
      <c r="N160" t="s">
        <v>33</v>
      </c>
      <c r="O160" t="s">
        <v>50</v>
      </c>
      <c r="P160" t="s">
        <v>51</v>
      </c>
      <c r="Q160">
        <v>5000000</v>
      </c>
      <c r="R160" t="s">
        <v>87</v>
      </c>
      <c r="S160" s="4">
        <v>46098</v>
      </c>
      <c r="T160" s="5" t="str">
        <f t="shared" si="2"/>
        <v>2026-03</v>
      </c>
    </row>
    <row r="161" spans="1:20" x14ac:dyDescent="0.3">
      <c r="A161" t="s">
        <v>310</v>
      </c>
      <c r="B161" t="s">
        <v>47</v>
      </c>
      <c r="C161">
        <v>62</v>
      </c>
      <c r="D161" t="s">
        <v>83</v>
      </c>
      <c r="E161" t="s">
        <v>39</v>
      </c>
      <c r="F161" t="s">
        <v>40</v>
      </c>
      <c r="G161" t="s">
        <v>41</v>
      </c>
      <c r="H161">
        <v>41</v>
      </c>
      <c r="I161">
        <v>3</v>
      </c>
      <c r="J161">
        <v>5</v>
      </c>
      <c r="K161">
        <v>2</v>
      </c>
      <c r="L161">
        <v>2</v>
      </c>
      <c r="M161">
        <v>7</v>
      </c>
      <c r="N161" t="s">
        <v>24</v>
      </c>
      <c r="O161" t="s">
        <v>34</v>
      </c>
      <c r="P161" t="s">
        <v>44</v>
      </c>
      <c r="Q161">
        <v>100000</v>
      </c>
      <c r="R161" t="s">
        <v>92</v>
      </c>
      <c r="S161" s="4">
        <v>46134</v>
      </c>
      <c r="T161" s="5" t="str">
        <f t="shared" si="2"/>
        <v>2026-04</v>
      </c>
    </row>
    <row r="162" spans="1:20" x14ac:dyDescent="0.3">
      <c r="A162" t="s">
        <v>311</v>
      </c>
      <c r="B162" t="s">
        <v>38</v>
      </c>
      <c r="C162">
        <v>22</v>
      </c>
      <c r="D162" t="s">
        <v>90</v>
      </c>
      <c r="E162" t="s">
        <v>21</v>
      </c>
      <c r="F162" t="s">
        <v>22</v>
      </c>
      <c r="G162" t="s">
        <v>23</v>
      </c>
      <c r="H162">
        <v>16</v>
      </c>
      <c r="I162">
        <v>1</v>
      </c>
      <c r="J162">
        <v>1</v>
      </c>
      <c r="K162">
        <v>5</v>
      </c>
      <c r="L162">
        <v>4</v>
      </c>
      <c r="M162">
        <v>8</v>
      </c>
      <c r="N162" t="s">
        <v>24</v>
      </c>
      <c r="O162" t="s">
        <v>69</v>
      </c>
      <c r="P162" t="s">
        <v>108</v>
      </c>
      <c r="Q162">
        <v>2000000</v>
      </c>
      <c r="R162" t="s">
        <v>62</v>
      </c>
      <c r="S162" s="4">
        <v>46063</v>
      </c>
      <c r="T162" s="5" t="str">
        <f t="shared" si="2"/>
        <v>2026-02</v>
      </c>
    </row>
    <row r="163" spans="1:20" x14ac:dyDescent="0.3">
      <c r="A163" t="s">
        <v>312</v>
      </c>
      <c r="B163" t="s">
        <v>104</v>
      </c>
      <c r="C163">
        <v>21</v>
      </c>
      <c r="D163" t="s">
        <v>90</v>
      </c>
      <c r="E163" t="s">
        <v>218</v>
      </c>
      <c r="F163" t="s">
        <v>161</v>
      </c>
      <c r="G163" t="s">
        <v>23</v>
      </c>
      <c r="H163">
        <v>15</v>
      </c>
      <c r="I163">
        <v>4</v>
      </c>
      <c r="J163">
        <v>1</v>
      </c>
      <c r="K163">
        <v>4</v>
      </c>
      <c r="L163">
        <v>3</v>
      </c>
      <c r="M163">
        <v>0</v>
      </c>
      <c r="N163" t="s">
        <v>33</v>
      </c>
      <c r="O163" t="s">
        <v>43</v>
      </c>
      <c r="P163" t="s">
        <v>108</v>
      </c>
      <c r="Q163">
        <v>1000000</v>
      </c>
      <c r="R163" t="s">
        <v>80</v>
      </c>
      <c r="S163" s="4">
        <v>46139</v>
      </c>
      <c r="T163" s="5" t="str">
        <f t="shared" si="2"/>
        <v>2026-04</v>
      </c>
    </row>
    <row r="164" spans="1:20" x14ac:dyDescent="0.3">
      <c r="A164" t="s">
        <v>313</v>
      </c>
      <c r="B164" t="s">
        <v>145</v>
      </c>
      <c r="C164">
        <v>61</v>
      </c>
      <c r="D164" t="s">
        <v>83</v>
      </c>
      <c r="E164" t="s">
        <v>142</v>
      </c>
      <c r="F164" t="s">
        <v>96</v>
      </c>
      <c r="G164" t="s">
        <v>41</v>
      </c>
      <c r="H164">
        <v>7</v>
      </c>
      <c r="I164">
        <v>3</v>
      </c>
      <c r="J164">
        <v>2</v>
      </c>
      <c r="K164">
        <v>5</v>
      </c>
      <c r="L164">
        <v>3</v>
      </c>
      <c r="M164">
        <v>1</v>
      </c>
      <c r="N164" t="s">
        <v>33</v>
      </c>
      <c r="O164" t="s">
        <v>50</v>
      </c>
      <c r="P164" t="s">
        <v>51</v>
      </c>
      <c r="Q164">
        <v>100000</v>
      </c>
      <c r="R164" t="s">
        <v>66</v>
      </c>
      <c r="S164" s="4">
        <v>46023</v>
      </c>
      <c r="T164" s="5" t="str">
        <f t="shared" si="2"/>
        <v>2026-01</v>
      </c>
    </row>
    <row r="165" spans="1:20" x14ac:dyDescent="0.3">
      <c r="A165" t="s">
        <v>314</v>
      </c>
      <c r="B165" t="s">
        <v>259</v>
      </c>
      <c r="C165">
        <v>32</v>
      </c>
      <c r="D165" t="s">
        <v>54</v>
      </c>
      <c r="E165" t="s">
        <v>169</v>
      </c>
      <c r="F165" t="s">
        <v>49</v>
      </c>
      <c r="G165" t="s">
        <v>41</v>
      </c>
      <c r="H165">
        <v>24</v>
      </c>
      <c r="I165">
        <v>2</v>
      </c>
      <c r="J165">
        <v>5</v>
      </c>
      <c r="K165">
        <v>4</v>
      </c>
      <c r="L165">
        <v>2</v>
      </c>
      <c r="M165">
        <v>2</v>
      </c>
      <c r="N165" t="s">
        <v>33</v>
      </c>
      <c r="O165" t="s">
        <v>34</v>
      </c>
      <c r="P165" t="s">
        <v>44</v>
      </c>
      <c r="Q165">
        <v>5000000</v>
      </c>
      <c r="R165" t="s">
        <v>57</v>
      </c>
      <c r="S165" s="4">
        <v>46090</v>
      </c>
      <c r="T165" s="5" t="str">
        <f t="shared" si="2"/>
        <v>2026-03</v>
      </c>
    </row>
    <row r="166" spans="1:20" x14ac:dyDescent="0.3">
      <c r="A166" t="s">
        <v>315</v>
      </c>
      <c r="B166" t="s">
        <v>120</v>
      </c>
      <c r="C166">
        <v>41</v>
      </c>
      <c r="D166" t="s">
        <v>20</v>
      </c>
      <c r="E166" t="s">
        <v>166</v>
      </c>
      <c r="F166" t="s">
        <v>125</v>
      </c>
      <c r="G166" t="s">
        <v>41</v>
      </c>
      <c r="H166">
        <v>48</v>
      </c>
      <c r="I166">
        <v>3</v>
      </c>
      <c r="J166">
        <v>3</v>
      </c>
      <c r="K166">
        <v>5</v>
      </c>
      <c r="L166">
        <v>4</v>
      </c>
      <c r="M166">
        <v>3</v>
      </c>
      <c r="N166" t="s">
        <v>33</v>
      </c>
      <c r="O166" t="s">
        <v>34</v>
      </c>
      <c r="P166" t="s">
        <v>26</v>
      </c>
      <c r="Q166">
        <v>2000000</v>
      </c>
      <c r="R166" t="s">
        <v>121</v>
      </c>
      <c r="S166" s="4">
        <v>46151</v>
      </c>
      <c r="T166" s="5" t="str">
        <f t="shared" si="2"/>
        <v>2026-05</v>
      </c>
    </row>
    <row r="167" spans="1:20" x14ac:dyDescent="0.3">
      <c r="A167" t="s">
        <v>316</v>
      </c>
      <c r="B167" t="s">
        <v>317</v>
      </c>
      <c r="C167">
        <v>45</v>
      </c>
      <c r="D167" t="s">
        <v>30</v>
      </c>
      <c r="E167" t="s">
        <v>55</v>
      </c>
      <c r="F167" t="s">
        <v>56</v>
      </c>
      <c r="G167" t="s">
        <v>41</v>
      </c>
      <c r="H167">
        <v>1</v>
      </c>
      <c r="I167">
        <v>1</v>
      </c>
      <c r="J167">
        <v>3</v>
      </c>
      <c r="K167">
        <v>5</v>
      </c>
      <c r="L167">
        <v>5</v>
      </c>
      <c r="M167">
        <v>7</v>
      </c>
      <c r="N167" t="s">
        <v>24</v>
      </c>
      <c r="O167" t="s">
        <v>34</v>
      </c>
      <c r="P167" t="s">
        <v>44</v>
      </c>
      <c r="Q167">
        <v>250000</v>
      </c>
      <c r="R167" t="s">
        <v>27</v>
      </c>
      <c r="S167" s="4">
        <v>46068</v>
      </c>
      <c r="T167" s="5" t="str">
        <f t="shared" si="2"/>
        <v>2026-02</v>
      </c>
    </row>
    <row r="168" spans="1:20" x14ac:dyDescent="0.3">
      <c r="A168" t="s">
        <v>318</v>
      </c>
      <c r="B168" t="s">
        <v>86</v>
      </c>
      <c r="C168">
        <v>56</v>
      </c>
      <c r="D168" t="s">
        <v>83</v>
      </c>
      <c r="E168" t="s">
        <v>60</v>
      </c>
      <c r="F168" t="s">
        <v>61</v>
      </c>
      <c r="G168" t="s">
        <v>23</v>
      </c>
      <c r="H168">
        <v>21</v>
      </c>
      <c r="I168">
        <v>4</v>
      </c>
      <c r="J168">
        <v>5</v>
      </c>
      <c r="K168">
        <v>3</v>
      </c>
      <c r="L168">
        <v>1</v>
      </c>
      <c r="M168">
        <v>9</v>
      </c>
      <c r="N168" t="s">
        <v>42</v>
      </c>
      <c r="O168" t="s">
        <v>50</v>
      </c>
      <c r="P168" t="s">
        <v>26</v>
      </c>
      <c r="Q168">
        <v>100000</v>
      </c>
      <c r="R168" t="s">
        <v>126</v>
      </c>
      <c r="S168" s="4">
        <v>46152</v>
      </c>
      <c r="T168" s="5" t="str">
        <f t="shared" si="2"/>
        <v>2026-05</v>
      </c>
    </row>
    <row r="169" spans="1:20" x14ac:dyDescent="0.3">
      <c r="A169" t="s">
        <v>319</v>
      </c>
      <c r="B169" t="s">
        <v>145</v>
      </c>
      <c r="C169">
        <v>42</v>
      </c>
      <c r="D169" t="s">
        <v>20</v>
      </c>
      <c r="E169" t="s">
        <v>95</v>
      </c>
      <c r="F169" t="s">
        <v>96</v>
      </c>
      <c r="G169" t="s">
        <v>23</v>
      </c>
      <c r="H169">
        <v>15</v>
      </c>
      <c r="I169">
        <v>4</v>
      </c>
      <c r="J169">
        <v>2</v>
      </c>
      <c r="K169">
        <v>2</v>
      </c>
      <c r="L169">
        <v>5</v>
      </c>
      <c r="M169">
        <v>5</v>
      </c>
      <c r="N169" t="s">
        <v>33</v>
      </c>
      <c r="O169" t="s">
        <v>50</v>
      </c>
      <c r="P169" t="s">
        <v>51</v>
      </c>
      <c r="Q169">
        <v>250000</v>
      </c>
      <c r="R169" t="s">
        <v>66</v>
      </c>
      <c r="S169" s="4">
        <v>46050</v>
      </c>
      <c r="T169" s="5" t="str">
        <f t="shared" si="2"/>
        <v>2026-01</v>
      </c>
    </row>
    <row r="170" spans="1:20" x14ac:dyDescent="0.3">
      <c r="A170" t="s">
        <v>320</v>
      </c>
      <c r="B170" t="s">
        <v>102</v>
      </c>
      <c r="C170">
        <v>27</v>
      </c>
      <c r="D170" t="s">
        <v>54</v>
      </c>
      <c r="E170" t="s">
        <v>72</v>
      </c>
      <c r="F170" t="s">
        <v>73</v>
      </c>
      <c r="G170" t="s">
        <v>41</v>
      </c>
      <c r="H170">
        <v>26</v>
      </c>
      <c r="I170">
        <v>3</v>
      </c>
      <c r="J170">
        <v>5</v>
      </c>
      <c r="K170">
        <v>2</v>
      </c>
      <c r="L170">
        <v>1</v>
      </c>
      <c r="M170">
        <v>6</v>
      </c>
      <c r="N170" t="s">
        <v>33</v>
      </c>
      <c r="O170" t="s">
        <v>34</v>
      </c>
      <c r="P170" t="s">
        <v>108</v>
      </c>
      <c r="Q170">
        <v>250000</v>
      </c>
      <c r="R170" t="s">
        <v>84</v>
      </c>
      <c r="S170" s="4">
        <v>46183</v>
      </c>
      <c r="T170" s="5" t="str">
        <f t="shared" si="2"/>
        <v>2026-06</v>
      </c>
    </row>
    <row r="171" spans="1:20" x14ac:dyDescent="0.3">
      <c r="A171" t="s">
        <v>321</v>
      </c>
      <c r="B171" t="s">
        <v>189</v>
      </c>
      <c r="C171">
        <v>58</v>
      </c>
      <c r="D171" t="s">
        <v>83</v>
      </c>
      <c r="E171" t="s">
        <v>21</v>
      </c>
      <c r="F171" t="s">
        <v>22</v>
      </c>
      <c r="G171" t="s">
        <v>23</v>
      </c>
      <c r="H171">
        <v>8</v>
      </c>
      <c r="I171">
        <v>3</v>
      </c>
      <c r="J171">
        <v>5</v>
      </c>
      <c r="K171">
        <v>2</v>
      </c>
      <c r="L171">
        <v>2</v>
      </c>
      <c r="M171">
        <v>9</v>
      </c>
      <c r="N171" t="s">
        <v>42</v>
      </c>
      <c r="O171" t="s">
        <v>34</v>
      </c>
      <c r="P171" t="s">
        <v>44</v>
      </c>
      <c r="Q171">
        <v>50000</v>
      </c>
      <c r="R171" t="s">
        <v>45</v>
      </c>
      <c r="S171" s="4">
        <v>46099</v>
      </c>
      <c r="T171" s="5" t="str">
        <f t="shared" si="2"/>
        <v>2026-03</v>
      </c>
    </row>
    <row r="172" spans="1:20" x14ac:dyDescent="0.3">
      <c r="A172" t="s">
        <v>322</v>
      </c>
      <c r="B172" t="s">
        <v>128</v>
      </c>
      <c r="C172">
        <v>37</v>
      </c>
      <c r="D172" t="s">
        <v>20</v>
      </c>
      <c r="E172" t="s">
        <v>323</v>
      </c>
      <c r="F172" t="s">
        <v>22</v>
      </c>
      <c r="G172" t="s">
        <v>41</v>
      </c>
      <c r="H172">
        <v>30</v>
      </c>
      <c r="I172">
        <v>3</v>
      </c>
      <c r="J172">
        <v>5</v>
      </c>
      <c r="K172">
        <v>4</v>
      </c>
      <c r="L172">
        <v>2</v>
      </c>
      <c r="M172">
        <v>6</v>
      </c>
      <c r="N172" t="s">
        <v>33</v>
      </c>
      <c r="O172" t="s">
        <v>69</v>
      </c>
      <c r="P172" t="s">
        <v>51</v>
      </c>
      <c r="Q172">
        <v>2000000</v>
      </c>
      <c r="R172" t="s">
        <v>92</v>
      </c>
      <c r="S172" s="4">
        <v>46186</v>
      </c>
      <c r="T172" s="5" t="str">
        <f t="shared" si="2"/>
        <v>2026-06</v>
      </c>
    </row>
    <row r="173" spans="1:20" x14ac:dyDescent="0.3">
      <c r="A173" t="s">
        <v>324</v>
      </c>
      <c r="B173" t="s">
        <v>68</v>
      </c>
      <c r="C173">
        <v>63</v>
      </c>
      <c r="D173" t="s">
        <v>83</v>
      </c>
      <c r="E173" t="s">
        <v>323</v>
      </c>
      <c r="F173" t="s">
        <v>22</v>
      </c>
      <c r="G173" t="s">
        <v>41</v>
      </c>
      <c r="H173">
        <v>22</v>
      </c>
      <c r="I173">
        <v>3</v>
      </c>
      <c r="J173">
        <v>2</v>
      </c>
      <c r="K173">
        <v>1</v>
      </c>
      <c r="L173">
        <v>4</v>
      </c>
      <c r="M173">
        <v>6</v>
      </c>
      <c r="N173" t="s">
        <v>33</v>
      </c>
      <c r="O173" t="s">
        <v>69</v>
      </c>
      <c r="P173" t="s">
        <v>108</v>
      </c>
      <c r="Q173">
        <v>2000000</v>
      </c>
      <c r="R173" t="s">
        <v>84</v>
      </c>
      <c r="S173" s="4">
        <v>46152</v>
      </c>
      <c r="T173" s="5" t="str">
        <f t="shared" si="2"/>
        <v>2026-05</v>
      </c>
    </row>
    <row r="174" spans="1:20" x14ac:dyDescent="0.3">
      <c r="A174" t="s">
        <v>325</v>
      </c>
      <c r="B174" t="s">
        <v>102</v>
      </c>
      <c r="C174">
        <v>29</v>
      </c>
      <c r="D174" t="s">
        <v>54</v>
      </c>
      <c r="E174" t="s">
        <v>72</v>
      </c>
      <c r="F174" t="s">
        <v>73</v>
      </c>
      <c r="G174" t="s">
        <v>41</v>
      </c>
      <c r="H174">
        <v>18</v>
      </c>
      <c r="I174">
        <v>2</v>
      </c>
      <c r="J174">
        <v>1</v>
      </c>
      <c r="K174">
        <v>2</v>
      </c>
      <c r="L174">
        <v>5</v>
      </c>
      <c r="M174">
        <v>0</v>
      </c>
      <c r="N174" t="s">
        <v>33</v>
      </c>
      <c r="O174" t="s">
        <v>69</v>
      </c>
      <c r="P174" t="s">
        <v>35</v>
      </c>
      <c r="Q174">
        <v>1000000</v>
      </c>
      <c r="R174" t="s">
        <v>57</v>
      </c>
      <c r="S174" s="4">
        <v>46178</v>
      </c>
      <c r="T174" s="5" t="str">
        <f t="shared" si="2"/>
        <v>2026-06</v>
      </c>
    </row>
    <row r="175" spans="1:20" x14ac:dyDescent="0.3">
      <c r="A175" t="s">
        <v>326</v>
      </c>
      <c r="B175" t="s">
        <v>123</v>
      </c>
      <c r="C175">
        <v>28</v>
      </c>
      <c r="D175" t="s">
        <v>54</v>
      </c>
      <c r="E175" t="s">
        <v>129</v>
      </c>
      <c r="F175" t="s">
        <v>130</v>
      </c>
      <c r="G175" t="s">
        <v>41</v>
      </c>
      <c r="H175">
        <v>19</v>
      </c>
      <c r="I175">
        <v>2</v>
      </c>
      <c r="J175">
        <v>1</v>
      </c>
      <c r="K175">
        <v>2</v>
      </c>
      <c r="L175">
        <v>1</v>
      </c>
      <c r="M175">
        <v>5</v>
      </c>
      <c r="N175" t="s">
        <v>33</v>
      </c>
      <c r="O175" t="s">
        <v>69</v>
      </c>
      <c r="P175" t="s">
        <v>26</v>
      </c>
      <c r="Q175">
        <v>1000000</v>
      </c>
      <c r="R175" t="s">
        <v>80</v>
      </c>
      <c r="S175" s="4">
        <v>46073</v>
      </c>
      <c r="T175" s="5" t="str">
        <f t="shared" si="2"/>
        <v>2026-02</v>
      </c>
    </row>
    <row r="176" spans="1:20" x14ac:dyDescent="0.3">
      <c r="A176" t="s">
        <v>327</v>
      </c>
      <c r="B176" t="s">
        <v>75</v>
      </c>
      <c r="C176">
        <v>44</v>
      </c>
      <c r="D176" t="s">
        <v>20</v>
      </c>
      <c r="E176" t="s">
        <v>64</v>
      </c>
      <c r="F176" t="s">
        <v>65</v>
      </c>
      <c r="G176" t="s">
        <v>41</v>
      </c>
      <c r="H176">
        <v>1</v>
      </c>
      <c r="I176">
        <v>5</v>
      </c>
      <c r="J176">
        <v>4</v>
      </c>
      <c r="K176">
        <v>5</v>
      </c>
      <c r="L176">
        <v>4</v>
      </c>
      <c r="M176">
        <v>6</v>
      </c>
      <c r="N176" t="s">
        <v>33</v>
      </c>
      <c r="O176" t="s">
        <v>107</v>
      </c>
      <c r="P176" t="s">
        <v>26</v>
      </c>
      <c r="Q176">
        <v>50000</v>
      </c>
      <c r="R176" t="s">
        <v>27</v>
      </c>
      <c r="S176" s="4">
        <v>46062</v>
      </c>
      <c r="T176" s="5" t="str">
        <f t="shared" si="2"/>
        <v>2026-02</v>
      </c>
    </row>
    <row r="177" spans="1:20" x14ac:dyDescent="0.3">
      <c r="A177" t="s">
        <v>328</v>
      </c>
      <c r="B177" t="s">
        <v>329</v>
      </c>
      <c r="C177">
        <v>51</v>
      </c>
      <c r="D177" t="s">
        <v>30</v>
      </c>
      <c r="E177" t="s">
        <v>200</v>
      </c>
      <c r="F177" t="s">
        <v>56</v>
      </c>
      <c r="G177" t="s">
        <v>41</v>
      </c>
      <c r="H177">
        <v>1</v>
      </c>
      <c r="I177">
        <v>1</v>
      </c>
      <c r="J177">
        <v>4</v>
      </c>
      <c r="K177">
        <v>3</v>
      </c>
      <c r="L177">
        <v>3</v>
      </c>
      <c r="M177">
        <v>2</v>
      </c>
      <c r="N177" t="s">
        <v>33</v>
      </c>
      <c r="O177" t="s">
        <v>107</v>
      </c>
      <c r="P177" t="s">
        <v>108</v>
      </c>
      <c r="Q177">
        <v>50000</v>
      </c>
      <c r="R177" t="s">
        <v>80</v>
      </c>
      <c r="S177" s="4">
        <v>46118</v>
      </c>
      <c r="T177" s="5" t="str">
        <f t="shared" si="2"/>
        <v>2026-04</v>
      </c>
    </row>
    <row r="178" spans="1:20" x14ac:dyDescent="0.3">
      <c r="A178" t="s">
        <v>330</v>
      </c>
      <c r="B178" t="s">
        <v>71</v>
      </c>
      <c r="C178">
        <v>57</v>
      </c>
      <c r="D178" t="s">
        <v>83</v>
      </c>
      <c r="E178" t="s">
        <v>331</v>
      </c>
      <c r="F178" t="s">
        <v>106</v>
      </c>
      <c r="G178" t="s">
        <v>23</v>
      </c>
      <c r="H178">
        <v>48</v>
      </c>
      <c r="I178">
        <v>5</v>
      </c>
      <c r="J178">
        <v>4</v>
      </c>
      <c r="K178">
        <v>2</v>
      </c>
      <c r="L178">
        <v>3</v>
      </c>
      <c r="M178">
        <v>8</v>
      </c>
      <c r="N178" t="s">
        <v>24</v>
      </c>
      <c r="O178" t="s">
        <v>25</v>
      </c>
      <c r="P178" t="s">
        <v>51</v>
      </c>
      <c r="Q178">
        <v>500000</v>
      </c>
      <c r="R178" t="s">
        <v>45</v>
      </c>
      <c r="S178" s="4">
        <v>46064</v>
      </c>
      <c r="T178" s="5" t="str">
        <f t="shared" si="2"/>
        <v>2026-02</v>
      </c>
    </row>
    <row r="179" spans="1:20" x14ac:dyDescent="0.3">
      <c r="A179" t="s">
        <v>332</v>
      </c>
      <c r="B179" t="s">
        <v>247</v>
      </c>
      <c r="C179">
        <v>64</v>
      </c>
      <c r="D179" t="s">
        <v>83</v>
      </c>
      <c r="E179" t="s">
        <v>169</v>
      </c>
      <c r="F179" t="s">
        <v>49</v>
      </c>
      <c r="G179" t="s">
        <v>41</v>
      </c>
      <c r="H179">
        <v>43</v>
      </c>
      <c r="I179">
        <v>1</v>
      </c>
      <c r="J179">
        <v>5</v>
      </c>
      <c r="K179">
        <v>4</v>
      </c>
      <c r="L179">
        <v>2</v>
      </c>
      <c r="M179">
        <v>3</v>
      </c>
      <c r="N179" t="s">
        <v>33</v>
      </c>
      <c r="O179" t="s">
        <v>69</v>
      </c>
      <c r="P179" t="s">
        <v>51</v>
      </c>
      <c r="Q179">
        <v>100000</v>
      </c>
      <c r="R179" t="s">
        <v>36</v>
      </c>
      <c r="S179" s="4">
        <v>46161</v>
      </c>
      <c r="T179" s="5" t="str">
        <f t="shared" si="2"/>
        <v>2026-05</v>
      </c>
    </row>
    <row r="180" spans="1:20" x14ac:dyDescent="0.3">
      <c r="A180" t="s">
        <v>333</v>
      </c>
      <c r="B180" t="s">
        <v>259</v>
      </c>
      <c r="C180">
        <v>28</v>
      </c>
      <c r="D180" t="s">
        <v>54</v>
      </c>
      <c r="E180" t="s">
        <v>140</v>
      </c>
      <c r="F180" t="s">
        <v>40</v>
      </c>
      <c r="G180" t="s">
        <v>41</v>
      </c>
      <c r="H180">
        <v>5</v>
      </c>
      <c r="I180">
        <v>1</v>
      </c>
      <c r="J180">
        <v>2</v>
      </c>
      <c r="K180">
        <v>2</v>
      </c>
      <c r="L180">
        <v>1</v>
      </c>
      <c r="M180">
        <v>4</v>
      </c>
      <c r="N180" t="s">
        <v>33</v>
      </c>
      <c r="O180" t="s">
        <v>107</v>
      </c>
      <c r="P180" t="s">
        <v>26</v>
      </c>
      <c r="Q180">
        <v>50000</v>
      </c>
      <c r="R180" t="s">
        <v>80</v>
      </c>
      <c r="S180" s="4">
        <v>46158</v>
      </c>
      <c r="T180" s="5" t="str">
        <f t="shared" si="2"/>
        <v>2026-05</v>
      </c>
    </row>
    <row r="181" spans="1:20" x14ac:dyDescent="0.3">
      <c r="A181" t="s">
        <v>334</v>
      </c>
      <c r="B181" t="s">
        <v>159</v>
      </c>
      <c r="C181">
        <v>24</v>
      </c>
      <c r="D181" t="s">
        <v>90</v>
      </c>
      <c r="E181" t="s">
        <v>64</v>
      </c>
      <c r="F181" t="s">
        <v>65</v>
      </c>
      <c r="G181" t="s">
        <v>23</v>
      </c>
      <c r="H181">
        <v>31</v>
      </c>
      <c r="I181">
        <v>3</v>
      </c>
      <c r="J181">
        <v>4</v>
      </c>
      <c r="K181">
        <v>5</v>
      </c>
      <c r="L181">
        <v>5</v>
      </c>
      <c r="M181">
        <v>1</v>
      </c>
      <c r="N181" t="s">
        <v>33</v>
      </c>
      <c r="O181" t="s">
        <v>34</v>
      </c>
      <c r="P181" t="s">
        <v>51</v>
      </c>
      <c r="Q181">
        <v>5000000</v>
      </c>
      <c r="R181" t="s">
        <v>57</v>
      </c>
      <c r="S181" s="4">
        <v>46023</v>
      </c>
      <c r="T181" s="5" t="str">
        <f t="shared" si="2"/>
        <v>2026-01</v>
      </c>
    </row>
    <row r="182" spans="1:20" x14ac:dyDescent="0.3">
      <c r="A182" t="s">
        <v>335</v>
      </c>
      <c r="B182" t="s">
        <v>239</v>
      </c>
      <c r="C182">
        <v>53</v>
      </c>
      <c r="D182" t="s">
        <v>30</v>
      </c>
      <c r="E182" t="s">
        <v>142</v>
      </c>
      <c r="F182" t="s">
        <v>96</v>
      </c>
      <c r="G182" t="s">
        <v>41</v>
      </c>
      <c r="H182">
        <v>48</v>
      </c>
      <c r="I182">
        <v>5</v>
      </c>
      <c r="J182">
        <v>1</v>
      </c>
      <c r="K182">
        <v>2</v>
      </c>
      <c r="L182">
        <v>5</v>
      </c>
      <c r="M182">
        <v>3</v>
      </c>
      <c r="N182" t="s">
        <v>33</v>
      </c>
      <c r="O182" t="s">
        <v>34</v>
      </c>
      <c r="P182" t="s">
        <v>51</v>
      </c>
      <c r="Q182">
        <v>1000000</v>
      </c>
      <c r="R182" t="s">
        <v>57</v>
      </c>
      <c r="S182" s="4">
        <v>46176</v>
      </c>
      <c r="T182" s="5" t="str">
        <f t="shared" si="2"/>
        <v>2026-06</v>
      </c>
    </row>
    <row r="183" spans="1:20" x14ac:dyDescent="0.3">
      <c r="A183" t="s">
        <v>336</v>
      </c>
      <c r="B183" t="s">
        <v>102</v>
      </c>
      <c r="C183">
        <v>18</v>
      </c>
      <c r="D183" t="s">
        <v>90</v>
      </c>
      <c r="E183" t="s">
        <v>124</v>
      </c>
      <c r="F183" t="s">
        <v>125</v>
      </c>
      <c r="G183" t="s">
        <v>23</v>
      </c>
      <c r="H183">
        <v>48</v>
      </c>
      <c r="I183">
        <v>2</v>
      </c>
      <c r="J183">
        <v>1</v>
      </c>
      <c r="K183">
        <v>1</v>
      </c>
      <c r="L183">
        <v>1</v>
      </c>
      <c r="M183">
        <v>5</v>
      </c>
      <c r="N183" t="s">
        <v>33</v>
      </c>
      <c r="O183" t="s">
        <v>34</v>
      </c>
      <c r="P183" t="s">
        <v>108</v>
      </c>
      <c r="Q183">
        <v>100000</v>
      </c>
      <c r="R183" t="s">
        <v>121</v>
      </c>
      <c r="S183" s="4">
        <v>46105</v>
      </c>
      <c r="T183" s="5" t="str">
        <f t="shared" si="2"/>
        <v>2026-03</v>
      </c>
    </row>
    <row r="184" spans="1:20" x14ac:dyDescent="0.3">
      <c r="A184" t="s">
        <v>337</v>
      </c>
      <c r="B184" t="s">
        <v>114</v>
      </c>
      <c r="C184">
        <v>23</v>
      </c>
      <c r="D184" t="s">
        <v>90</v>
      </c>
      <c r="E184" t="s">
        <v>166</v>
      </c>
      <c r="F184" t="s">
        <v>125</v>
      </c>
      <c r="G184" t="s">
        <v>41</v>
      </c>
      <c r="H184">
        <v>16</v>
      </c>
      <c r="I184">
        <v>1</v>
      </c>
      <c r="J184">
        <v>3</v>
      </c>
      <c r="K184">
        <v>1</v>
      </c>
      <c r="L184">
        <v>3</v>
      </c>
      <c r="M184">
        <v>2</v>
      </c>
      <c r="N184" t="s">
        <v>33</v>
      </c>
      <c r="O184" t="s">
        <v>25</v>
      </c>
      <c r="P184" t="s">
        <v>108</v>
      </c>
      <c r="Q184">
        <v>1000000</v>
      </c>
      <c r="R184" t="s">
        <v>36</v>
      </c>
      <c r="S184" s="4">
        <v>46148</v>
      </c>
      <c r="T184" s="5" t="str">
        <f t="shared" si="2"/>
        <v>2026-05</v>
      </c>
    </row>
    <row r="185" spans="1:20" x14ac:dyDescent="0.3">
      <c r="A185" t="s">
        <v>338</v>
      </c>
      <c r="B185" t="s">
        <v>102</v>
      </c>
      <c r="C185">
        <v>43</v>
      </c>
      <c r="D185" t="s">
        <v>20</v>
      </c>
      <c r="E185" t="s">
        <v>49</v>
      </c>
      <c r="F185" t="s">
        <v>49</v>
      </c>
      <c r="G185" t="s">
        <v>23</v>
      </c>
      <c r="H185">
        <v>29</v>
      </c>
      <c r="I185">
        <v>5</v>
      </c>
      <c r="J185">
        <v>2</v>
      </c>
      <c r="K185">
        <v>5</v>
      </c>
      <c r="L185">
        <v>5</v>
      </c>
      <c r="M185">
        <v>0</v>
      </c>
      <c r="N185" t="s">
        <v>33</v>
      </c>
      <c r="O185" t="s">
        <v>34</v>
      </c>
      <c r="P185" t="s">
        <v>51</v>
      </c>
      <c r="Q185">
        <v>500000</v>
      </c>
      <c r="R185" t="s">
        <v>57</v>
      </c>
      <c r="S185" s="4">
        <v>46027</v>
      </c>
      <c r="T185" s="5" t="str">
        <f t="shared" si="2"/>
        <v>2026-01</v>
      </c>
    </row>
    <row r="186" spans="1:20" x14ac:dyDescent="0.3">
      <c r="A186" t="s">
        <v>339</v>
      </c>
      <c r="B186" t="s">
        <v>213</v>
      </c>
      <c r="C186">
        <v>32</v>
      </c>
      <c r="D186" t="s">
        <v>54</v>
      </c>
      <c r="E186" t="s">
        <v>39</v>
      </c>
      <c r="F186" t="s">
        <v>40</v>
      </c>
      <c r="G186" t="s">
        <v>41</v>
      </c>
      <c r="H186">
        <v>25</v>
      </c>
      <c r="I186">
        <v>2</v>
      </c>
      <c r="J186">
        <v>2</v>
      </c>
      <c r="K186">
        <v>5</v>
      </c>
      <c r="L186">
        <v>2</v>
      </c>
      <c r="M186">
        <v>8</v>
      </c>
      <c r="N186" t="s">
        <v>24</v>
      </c>
      <c r="O186" t="s">
        <v>50</v>
      </c>
      <c r="P186" t="s">
        <v>51</v>
      </c>
      <c r="Q186">
        <v>2000000</v>
      </c>
      <c r="R186" t="s">
        <v>143</v>
      </c>
      <c r="S186" s="4">
        <v>46051</v>
      </c>
      <c r="T186" s="5" t="str">
        <f t="shared" si="2"/>
        <v>2026-01</v>
      </c>
    </row>
    <row r="187" spans="1:20" x14ac:dyDescent="0.3">
      <c r="A187" t="s">
        <v>340</v>
      </c>
      <c r="B187" t="s">
        <v>114</v>
      </c>
      <c r="C187">
        <v>49</v>
      </c>
      <c r="D187" t="s">
        <v>30</v>
      </c>
      <c r="E187" t="s">
        <v>49</v>
      </c>
      <c r="F187" t="s">
        <v>49</v>
      </c>
      <c r="G187" t="s">
        <v>23</v>
      </c>
      <c r="H187">
        <v>30</v>
      </c>
      <c r="I187">
        <v>3</v>
      </c>
      <c r="J187">
        <v>1</v>
      </c>
      <c r="K187">
        <v>5</v>
      </c>
      <c r="L187">
        <v>4</v>
      </c>
      <c r="M187">
        <v>2</v>
      </c>
      <c r="N187" t="s">
        <v>33</v>
      </c>
      <c r="O187" t="s">
        <v>107</v>
      </c>
      <c r="P187" t="s">
        <v>26</v>
      </c>
      <c r="Q187">
        <v>50000</v>
      </c>
      <c r="R187" t="s">
        <v>66</v>
      </c>
      <c r="S187" s="4">
        <v>46115</v>
      </c>
      <c r="T187" s="5" t="str">
        <f t="shared" si="2"/>
        <v>2026-04</v>
      </c>
    </row>
    <row r="188" spans="1:20" x14ac:dyDescent="0.3">
      <c r="A188" t="s">
        <v>341</v>
      </c>
      <c r="B188" t="s">
        <v>192</v>
      </c>
      <c r="C188">
        <v>17</v>
      </c>
      <c r="D188" t="s">
        <v>90</v>
      </c>
      <c r="E188" t="s">
        <v>140</v>
      </c>
      <c r="F188" t="s">
        <v>40</v>
      </c>
      <c r="G188" t="s">
        <v>41</v>
      </c>
      <c r="H188">
        <v>15</v>
      </c>
      <c r="I188">
        <v>1</v>
      </c>
      <c r="J188">
        <v>2</v>
      </c>
      <c r="K188">
        <v>2</v>
      </c>
      <c r="L188">
        <v>5</v>
      </c>
      <c r="M188">
        <v>2</v>
      </c>
      <c r="N188" t="s">
        <v>33</v>
      </c>
      <c r="O188" t="s">
        <v>43</v>
      </c>
      <c r="P188" t="s">
        <v>108</v>
      </c>
      <c r="Q188">
        <v>2000000</v>
      </c>
      <c r="R188" t="s">
        <v>121</v>
      </c>
      <c r="S188" s="4">
        <v>46101</v>
      </c>
      <c r="T188" s="5" t="str">
        <f t="shared" si="2"/>
        <v>2026-03</v>
      </c>
    </row>
    <row r="189" spans="1:20" x14ac:dyDescent="0.3">
      <c r="A189" t="s">
        <v>342</v>
      </c>
      <c r="B189" t="s">
        <v>75</v>
      </c>
      <c r="C189">
        <v>39</v>
      </c>
      <c r="D189" t="s">
        <v>20</v>
      </c>
      <c r="E189" t="s">
        <v>100</v>
      </c>
      <c r="F189" t="s">
        <v>61</v>
      </c>
      <c r="G189" t="s">
        <v>41</v>
      </c>
      <c r="H189">
        <v>21</v>
      </c>
      <c r="I189">
        <v>2</v>
      </c>
      <c r="J189">
        <v>4</v>
      </c>
      <c r="K189">
        <v>5</v>
      </c>
      <c r="L189">
        <v>1</v>
      </c>
      <c r="M189">
        <v>8</v>
      </c>
      <c r="N189" t="s">
        <v>24</v>
      </c>
      <c r="O189" t="s">
        <v>50</v>
      </c>
      <c r="P189" t="s">
        <v>51</v>
      </c>
      <c r="Q189">
        <v>2000000</v>
      </c>
      <c r="R189" t="s">
        <v>273</v>
      </c>
      <c r="S189" s="4">
        <v>46084</v>
      </c>
      <c r="T189" s="5" t="str">
        <f t="shared" si="2"/>
        <v>2026-03</v>
      </c>
    </row>
    <row r="190" spans="1:20" x14ac:dyDescent="0.3">
      <c r="A190" t="s">
        <v>343</v>
      </c>
      <c r="B190" t="s">
        <v>179</v>
      </c>
      <c r="C190">
        <v>23</v>
      </c>
      <c r="D190" t="s">
        <v>90</v>
      </c>
      <c r="E190" t="s">
        <v>331</v>
      </c>
      <c r="F190" t="s">
        <v>106</v>
      </c>
      <c r="G190" t="s">
        <v>41</v>
      </c>
      <c r="H190">
        <v>41</v>
      </c>
      <c r="I190">
        <v>1</v>
      </c>
      <c r="J190">
        <v>4</v>
      </c>
      <c r="K190">
        <v>3</v>
      </c>
      <c r="L190">
        <v>5</v>
      </c>
      <c r="M190">
        <v>2</v>
      </c>
      <c r="N190" t="s">
        <v>33</v>
      </c>
      <c r="O190" t="s">
        <v>69</v>
      </c>
      <c r="P190" t="s">
        <v>26</v>
      </c>
      <c r="Q190">
        <v>1000000</v>
      </c>
      <c r="R190" t="s">
        <v>57</v>
      </c>
      <c r="S190" s="4">
        <v>46037</v>
      </c>
      <c r="T190" s="5" t="str">
        <f t="shared" si="2"/>
        <v>2026-01</v>
      </c>
    </row>
    <row r="191" spans="1:20" x14ac:dyDescent="0.3">
      <c r="A191" t="s">
        <v>344</v>
      </c>
      <c r="B191" t="s">
        <v>147</v>
      </c>
      <c r="C191">
        <v>56</v>
      </c>
      <c r="D191" t="s">
        <v>83</v>
      </c>
      <c r="E191" t="s">
        <v>31</v>
      </c>
      <c r="F191" t="s">
        <v>32</v>
      </c>
      <c r="G191" t="s">
        <v>41</v>
      </c>
      <c r="H191">
        <v>30</v>
      </c>
      <c r="I191">
        <v>2</v>
      </c>
      <c r="J191">
        <v>4</v>
      </c>
      <c r="K191">
        <v>5</v>
      </c>
      <c r="L191">
        <v>4</v>
      </c>
      <c r="M191">
        <v>6</v>
      </c>
      <c r="N191" t="s">
        <v>33</v>
      </c>
      <c r="O191" t="s">
        <v>25</v>
      </c>
      <c r="P191" t="s">
        <v>108</v>
      </c>
      <c r="Q191">
        <v>1000000</v>
      </c>
      <c r="R191" t="s">
        <v>84</v>
      </c>
      <c r="S191" s="4">
        <v>46084</v>
      </c>
      <c r="T191" s="5" t="str">
        <f t="shared" si="2"/>
        <v>2026-03</v>
      </c>
    </row>
    <row r="192" spans="1:20" x14ac:dyDescent="0.3">
      <c r="A192" t="s">
        <v>345</v>
      </c>
      <c r="B192" t="s">
        <v>128</v>
      </c>
      <c r="C192">
        <v>51</v>
      </c>
      <c r="D192" t="s">
        <v>30</v>
      </c>
      <c r="E192" t="s">
        <v>166</v>
      </c>
      <c r="F192" t="s">
        <v>125</v>
      </c>
      <c r="G192" t="s">
        <v>41</v>
      </c>
      <c r="H192">
        <v>46</v>
      </c>
      <c r="I192">
        <v>3</v>
      </c>
      <c r="J192">
        <v>3</v>
      </c>
      <c r="K192">
        <v>4</v>
      </c>
      <c r="L192">
        <v>2</v>
      </c>
      <c r="M192">
        <v>10</v>
      </c>
      <c r="N192" t="s">
        <v>42</v>
      </c>
      <c r="O192" t="s">
        <v>69</v>
      </c>
      <c r="P192" t="s">
        <v>51</v>
      </c>
      <c r="Q192">
        <v>5000000</v>
      </c>
      <c r="R192" t="s">
        <v>62</v>
      </c>
      <c r="S192" s="4">
        <v>46168</v>
      </c>
      <c r="T192" s="5" t="str">
        <f t="shared" si="2"/>
        <v>2026-05</v>
      </c>
    </row>
    <row r="193" spans="1:20" x14ac:dyDescent="0.3">
      <c r="A193" t="s">
        <v>346</v>
      </c>
      <c r="B193" t="s">
        <v>215</v>
      </c>
      <c r="C193">
        <v>61</v>
      </c>
      <c r="D193" t="s">
        <v>83</v>
      </c>
      <c r="E193" t="s">
        <v>124</v>
      </c>
      <c r="F193" t="s">
        <v>125</v>
      </c>
      <c r="G193" t="s">
        <v>41</v>
      </c>
      <c r="H193">
        <v>23</v>
      </c>
      <c r="I193">
        <v>4</v>
      </c>
      <c r="J193">
        <v>5</v>
      </c>
      <c r="K193">
        <v>4</v>
      </c>
      <c r="L193">
        <v>2</v>
      </c>
      <c r="M193">
        <v>9</v>
      </c>
      <c r="N193" t="s">
        <v>42</v>
      </c>
      <c r="O193" t="s">
        <v>25</v>
      </c>
      <c r="P193" t="s">
        <v>51</v>
      </c>
      <c r="Q193">
        <v>1000000</v>
      </c>
      <c r="R193" t="s">
        <v>126</v>
      </c>
      <c r="S193" s="4">
        <v>46043</v>
      </c>
      <c r="T193" s="5" t="str">
        <f t="shared" si="2"/>
        <v>2026-01</v>
      </c>
    </row>
    <row r="194" spans="1:20" x14ac:dyDescent="0.3">
      <c r="A194" t="s">
        <v>347</v>
      </c>
      <c r="B194" t="s">
        <v>53</v>
      </c>
      <c r="C194">
        <v>56</v>
      </c>
      <c r="D194" t="s">
        <v>83</v>
      </c>
      <c r="E194" t="s">
        <v>203</v>
      </c>
      <c r="F194" t="s">
        <v>32</v>
      </c>
      <c r="G194" t="s">
        <v>23</v>
      </c>
      <c r="H194">
        <v>15</v>
      </c>
      <c r="I194">
        <v>5</v>
      </c>
      <c r="J194">
        <v>5</v>
      </c>
      <c r="K194">
        <v>5</v>
      </c>
      <c r="L194">
        <v>2</v>
      </c>
      <c r="M194">
        <v>5</v>
      </c>
      <c r="N194" t="s">
        <v>33</v>
      </c>
      <c r="O194" t="s">
        <v>69</v>
      </c>
      <c r="P194" t="s">
        <v>44</v>
      </c>
      <c r="Q194">
        <v>1000000</v>
      </c>
      <c r="R194" t="s">
        <v>36</v>
      </c>
      <c r="S194" s="4">
        <v>46044</v>
      </c>
      <c r="T194" s="5" t="str">
        <f t="shared" ref="T194:T201" si="3">TEXT(S194,"yyyy-mm")</f>
        <v>2026-01</v>
      </c>
    </row>
    <row r="195" spans="1:20" x14ac:dyDescent="0.3">
      <c r="A195" t="s">
        <v>348</v>
      </c>
      <c r="B195" t="s">
        <v>261</v>
      </c>
      <c r="C195">
        <v>64</v>
      </c>
      <c r="D195" t="s">
        <v>83</v>
      </c>
      <c r="E195" t="s">
        <v>39</v>
      </c>
      <c r="F195" t="s">
        <v>40</v>
      </c>
      <c r="G195" t="s">
        <v>41</v>
      </c>
      <c r="H195">
        <v>18</v>
      </c>
      <c r="I195">
        <v>3</v>
      </c>
      <c r="J195">
        <v>2</v>
      </c>
      <c r="K195">
        <v>5</v>
      </c>
      <c r="L195">
        <v>5</v>
      </c>
      <c r="M195">
        <v>0</v>
      </c>
      <c r="N195" t="s">
        <v>33</v>
      </c>
      <c r="O195" t="s">
        <v>107</v>
      </c>
      <c r="P195" t="s">
        <v>51</v>
      </c>
      <c r="Q195">
        <v>2000000</v>
      </c>
      <c r="R195" t="s">
        <v>66</v>
      </c>
      <c r="S195" s="4">
        <v>46147</v>
      </c>
      <c r="T195" s="5" t="str">
        <f t="shared" si="3"/>
        <v>2026-05</v>
      </c>
    </row>
    <row r="196" spans="1:20" x14ac:dyDescent="0.3">
      <c r="A196" t="s">
        <v>349</v>
      </c>
      <c r="B196" t="s">
        <v>217</v>
      </c>
      <c r="C196">
        <v>21</v>
      </c>
      <c r="D196" t="s">
        <v>90</v>
      </c>
      <c r="E196" t="s">
        <v>124</v>
      </c>
      <c r="F196" t="s">
        <v>125</v>
      </c>
      <c r="G196" t="s">
        <v>23</v>
      </c>
      <c r="H196">
        <v>36</v>
      </c>
      <c r="I196">
        <v>4</v>
      </c>
      <c r="J196">
        <v>5</v>
      </c>
      <c r="K196">
        <v>5</v>
      </c>
      <c r="L196">
        <v>4</v>
      </c>
      <c r="M196">
        <v>7</v>
      </c>
      <c r="N196" t="s">
        <v>24</v>
      </c>
      <c r="O196" t="s">
        <v>25</v>
      </c>
      <c r="P196" t="s">
        <v>51</v>
      </c>
      <c r="Q196">
        <v>50000</v>
      </c>
      <c r="R196" t="s">
        <v>84</v>
      </c>
      <c r="S196" s="4">
        <v>46040</v>
      </c>
      <c r="T196" s="5" t="str">
        <f t="shared" si="3"/>
        <v>2026-01</v>
      </c>
    </row>
    <row r="197" spans="1:20" x14ac:dyDescent="0.3">
      <c r="A197" t="s">
        <v>350</v>
      </c>
      <c r="B197" t="s">
        <v>192</v>
      </c>
      <c r="C197">
        <v>39</v>
      </c>
      <c r="D197" t="s">
        <v>20</v>
      </c>
      <c r="E197" t="s">
        <v>200</v>
      </c>
      <c r="F197" t="s">
        <v>56</v>
      </c>
      <c r="G197" t="s">
        <v>23</v>
      </c>
      <c r="H197">
        <v>33</v>
      </c>
      <c r="I197">
        <v>5</v>
      </c>
      <c r="J197">
        <v>5</v>
      </c>
      <c r="K197">
        <v>3</v>
      </c>
      <c r="L197">
        <v>4</v>
      </c>
      <c r="M197">
        <v>4</v>
      </c>
      <c r="N197" t="s">
        <v>33</v>
      </c>
      <c r="O197" t="s">
        <v>43</v>
      </c>
      <c r="P197" t="s">
        <v>51</v>
      </c>
      <c r="Q197">
        <v>100000</v>
      </c>
      <c r="R197" t="s">
        <v>57</v>
      </c>
      <c r="S197" s="4">
        <v>46159</v>
      </c>
      <c r="T197" s="5" t="str">
        <f t="shared" si="3"/>
        <v>2026-05</v>
      </c>
    </row>
    <row r="198" spans="1:20" x14ac:dyDescent="0.3">
      <c r="A198" t="s">
        <v>351</v>
      </c>
      <c r="B198" t="s">
        <v>82</v>
      </c>
      <c r="C198">
        <v>35</v>
      </c>
      <c r="D198" t="s">
        <v>20</v>
      </c>
      <c r="E198" t="s">
        <v>105</v>
      </c>
      <c r="F198" t="s">
        <v>106</v>
      </c>
      <c r="G198" t="s">
        <v>41</v>
      </c>
      <c r="H198">
        <v>25</v>
      </c>
      <c r="I198">
        <v>4</v>
      </c>
      <c r="J198">
        <v>5</v>
      </c>
      <c r="K198">
        <v>3</v>
      </c>
      <c r="L198">
        <v>2</v>
      </c>
      <c r="M198">
        <v>6</v>
      </c>
      <c r="N198" t="s">
        <v>33</v>
      </c>
      <c r="O198" t="s">
        <v>25</v>
      </c>
      <c r="P198" t="s">
        <v>26</v>
      </c>
      <c r="Q198">
        <v>250000</v>
      </c>
      <c r="R198" t="s">
        <v>84</v>
      </c>
      <c r="S198" s="4">
        <v>46055</v>
      </c>
      <c r="T198" s="5" t="str">
        <f t="shared" si="3"/>
        <v>2026-02</v>
      </c>
    </row>
    <row r="199" spans="1:20" x14ac:dyDescent="0.3">
      <c r="A199" t="s">
        <v>352</v>
      </c>
      <c r="B199" t="s">
        <v>138</v>
      </c>
      <c r="C199">
        <v>55</v>
      </c>
      <c r="D199" t="s">
        <v>83</v>
      </c>
      <c r="E199" t="s">
        <v>72</v>
      </c>
      <c r="F199" t="s">
        <v>73</v>
      </c>
      <c r="G199" t="s">
        <v>41</v>
      </c>
      <c r="H199">
        <v>8</v>
      </c>
      <c r="I199">
        <v>2</v>
      </c>
      <c r="J199">
        <v>5</v>
      </c>
      <c r="K199">
        <v>4</v>
      </c>
      <c r="L199">
        <v>1</v>
      </c>
      <c r="M199">
        <v>5</v>
      </c>
      <c r="N199" t="s">
        <v>33</v>
      </c>
      <c r="O199" t="s">
        <v>50</v>
      </c>
      <c r="P199" t="s">
        <v>35</v>
      </c>
      <c r="Q199">
        <v>5000000</v>
      </c>
      <c r="R199" t="s">
        <v>121</v>
      </c>
      <c r="S199" s="4">
        <v>46055</v>
      </c>
      <c r="T199" s="5" t="str">
        <f t="shared" si="3"/>
        <v>2026-02</v>
      </c>
    </row>
    <row r="200" spans="1:20" x14ac:dyDescent="0.3">
      <c r="A200" t="s">
        <v>353</v>
      </c>
      <c r="B200" t="s">
        <v>53</v>
      </c>
      <c r="C200">
        <v>42</v>
      </c>
      <c r="D200" t="s">
        <v>20</v>
      </c>
      <c r="E200" t="s">
        <v>105</v>
      </c>
      <c r="F200" t="s">
        <v>106</v>
      </c>
      <c r="G200" t="s">
        <v>23</v>
      </c>
      <c r="H200">
        <v>35</v>
      </c>
      <c r="I200">
        <v>4</v>
      </c>
      <c r="J200">
        <v>3</v>
      </c>
      <c r="K200">
        <v>5</v>
      </c>
      <c r="L200">
        <v>5</v>
      </c>
      <c r="M200">
        <v>0</v>
      </c>
      <c r="N200" t="s">
        <v>33</v>
      </c>
      <c r="O200" t="s">
        <v>25</v>
      </c>
      <c r="P200" t="s">
        <v>108</v>
      </c>
      <c r="Q200">
        <v>100000</v>
      </c>
      <c r="R200" t="s">
        <v>57</v>
      </c>
      <c r="S200" s="4">
        <v>46191</v>
      </c>
      <c r="T200" s="5" t="str">
        <f t="shared" si="3"/>
        <v>2026-06</v>
      </c>
    </row>
    <row r="201" spans="1:20" x14ac:dyDescent="0.3">
      <c r="A201" t="s">
        <v>354</v>
      </c>
      <c r="B201" t="s">
        <v>261</v>
      </c>
      <c r="C201">
        <v>17</v>
      </c>
      <c r="D201" t="s">
        <v>90</v>
      </c>
      <c r="E201" t="s">
        <v>245</v>
      </c>
      <c r="F201" t="s">
        <v>130</v>
      </c>
      <c r="G201" t="s">
        <v>23</v>
      </c>
      <c r="H201">
        <v>3</v>
      </c>
      <c r="I201">
        <v>5</v>
      </c>
      <c r="J201">
        <v>5</v>
      </c>
      <c r="K201">
        <v>5</v>
      </c>
      <c r="L201">
        <v>5</v>
      </c>
      <c r="M201">
        <v>3</v>
      </c>
      <c r="N201" t="s">
        <v>33</v>
      </c>
      <c r="O201" t="s">
        <v>69</v>
      </c>
      <c r="P201" t="s">
        <v>108</v>
      </c>
      <c r="Q201">
        <v>250000</v>
      </c>
      <c r="R201" t="s">
        <v>80</v>
      </c>
      <c r="S201" s="4">
        <v>46144</v>
      </c>
      <c r="T201" s="5" t="str">
        <f t="shared" si="3"/>
        <v>2026-05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2CC3-DF07-4798-A859-14EDAFE48E71}">
  <dimension ref="A1:X201"/>
  <sheetViews>
    <sheetView tabSelected="1" topLeftCell="G1" workbookViewId="0">
      <selection activeCell="R53" sqref="R53"/>
    </sheetView>
  </sheetViews>
  <sheetFormatPr defaultRowHeight="14.4" x14ac:dyDescent="0.3"/>
  <cols>
    <col min="1" max="1" width="16.21875" bestFit="1" customWidth="1"/>
    <col min="2" max="2" width="16.6640625" bestFit="1" customWidth="1"/>
    <col min="3" max="3" width="6.77734375" bestFit="1" customWidth="1"/>
    <col min="4" max="4" width="16.44140625" bestFit="1" customWidth="1"/>
    <col min="5" max="5" width="14.77734375" bestFit="1" customWidth="1"/>
    <col min="6" max="6" width="15.33203125" bestFit="1" customWidth="1"/>
    <col min="7" max="7" width="10.21875" bestFit="1" customWidth="1"/>
    <col min="8" max="8" width="6.77734375" customWidth="1"/>
    <col min="9" max="9" width="8" customWidth="1"/>
    <col min="10" max="10" width="7.88671875" customWidth="1"/>
    <col min="11" max="11" width="7.44140625" customWidth="1"/>
    <col min="12" max="12" width="5.88671875" customWidth="1"/>
    <col min="13" max="13" width="4.77734375" customWidth="1"/>
    <col min="14" max="14" width="11.88671875" customWidth="1"/>
    <col min="15" max="15" width="14.21875" customWidth="1"/>
    <col min="16" max="16" width="14.44140625" customWidth="1"/>
    <col min="17" max="17" width="9.109375" customWidth="1"/>
    <col min="18" max="18" width="32.21875" customWidth="1"/>
    <col min="19" max="19" width="16.109375" bestFit="1" customWidth="1"/>
    <col min="20" max="20" width="11" customWidth="1"/>
    <col min="23" max="23" width="15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381</v>
      </c>
      <c r="T1" t="s">
        <v>382</v>
      </c>
      <c r="U1" t="s">
        <v>383</v>
      </c>
      <c r="V1" t="s">
        <v>384</v>
      </c>
      <c r="W1" t="s">
        <v>360</v>
      </c>
      <c r="X1" t="s">
        <v>361</v>
      </c>
    </row>
    <row r="2" spans="1:24" hidden="1" x14ac:dyDescent="0.3">
      <c r="A2" t="s">
        <v>18</v>
      </c>
      <c r="B2" t="s">
        <v>19</v>
      </c>
      <c r="C2">
        <v>36</v>
      </c>
      <c r="D2" t="s">
        <v>20</v>
      </c>
      <c r="E2" t="s">
        <v>21</v>
      </c>
      <c r="F2" t="s">
        <v>22</v>
      </c>
      <c r="G2" t="s">
        <v>23</v>
      </c>
      <c r="H2">
        <v>35</v>
      </c>
      <c r="I2">
        <v>3</v>
      </c>
      <c r="J2">
        <v>4</v>
      </c>
      <c r="K2">
        <v>3</v>
      </c>
      <c r="L2">
        <v>4</v>
      </c>
      <c r="M2">
        <v>7</v>
      </c>
      <c r="N2" t="s">
        <v>24</v>
      </c>
      <c r="O2" t="s">
        <v>25</v>
      </c>
      <c r="P2" t="s">
        <v>26</v>
      </c>
      <c r="Q2">
        <v>50000</v>
      </c>
      <c r="R2" t="s">
        <v>27</v>
      </c>
      <c r="S2" t="str">
        <f>LOWER(TRIM(CLEAN(tbl_survey_clean[[#This Row],[Komentar]])))</f>
        <v>perlu beberapa perbaikan minor</v>
      </c>
      <c r="T2">
        <f>LEN(tbl_survey_clean[[#This Row],[Komentar_Clean]])</f>
        <v>30</v>
      </c>
      <c r="U2" t="str">
        <f t="shared" ref="U2:U33" si="0">IF(ISNUMBER(SEARCH("harga",S2)),"Harga",IF(ISNUMBER(SEARCH("pengiriman",S2)),"Pengiriman",IF(ISNUMBER(SEARCH("pelayanan",S2)),"Pelayanan",IF(ISNUMBER(SEARCH("produk",S2)),"Produk","Lainnya"))))</f>
        <v>Lainnya</v>
      </c>
      <c r="V2" t="str">
        <f t="shared" ref="V2:V33" si="1">IF(OR(ISNUMBER(SEARCH("puas",S2)),ISNUMBER(SEARCH("bagus",S2)),ISNUMBER(SEARCH("cepat",S2)),ISNUMBER(SEARCH("aman",S2))),"Positif",IF(OR(ISNUMBER(SEARCH("mahal",S2)),ISNUMBER(SEARCH("lama",S2)),ISNUMBER(SEARCH("buruk",S2)),ISNUMBER(SEARCH("susah",S2)),ISNUMBER(SEARCH("ribet",S2)),ISNUMBER(SEARCH("perbaikan",S2))),"Negatif","Netral"))</f>
        <v>Negatif</v>
      </c>
      <c r="W2" s="6">
        <v>46186</v>
      </c>
      <c r="X2" t="s">
        <v>368</v>
      </c>
    </row>
    <row r="3" spans="1:24" hidden="1" x14ac:dyDescent="0.3">
      <c r="A3" t="s">
        <v>28</v>
      </c>
      <c r="B3" t="s">
        <v>29</v>
      </c>
      <c r="C3">
        <v>49</v>
      </c>
      <c r="D3" t="s">
        <v>30</v>
      </c>
      <c r="E3" t="s">
        <v>31</v>
      </c>
      <c r="F3" t="s">
        <v>32</v>
      </c>
      <c r="G3" t="s">
        <v>23</v>
      </c>
      <c r="H3">
        <v>17</v>
      </c>
      <c r="I3">
        <v>5</v>
      </c>
      <c r="J3">
        <v>1</v>
      </c>
      <c r="K3">
        <v>4</v>
      </c>
      <c r="L3">
        <v>2</v>
      </c>
      <c r="M3">
        <v>3</v>
      </c>
      <c r="N3" t="s">
        <v>33</v>
      </c>
      <c r="O3" t="s">
        <v>34</v>
      </c>
      <c r="P3" t="s">
        <v>35</v>
      </c>
      <c r="Q3">
        <v>5000000</v>
      </c>
      <c r="R3" t="s">
        <v>36</v>
      </c>
      <c r="S3" t="str">
        <f>LOWER(TRIM(CLEAN(tbl_survey_clean[[#This Row],[Komentar]])))</f>
        <v>harga naik tapi kualitas sama saja</v>
      </c>
      <c r="T3">
        <f>LEN(tbl_survey_clean[[#This Row],[Komentar_Clean]])</f>
        <v>34</v>
      </c>
      <c r="U3" t="str">
        <f t="shared" si="0"/>
        <v>Harga</v>
      </c>
      <c r="V3" t="str">
        <f t="shared" si="1"/>
        <v>Netral</v>
      </c>
      <c r="W3" s="6">
        <v>46051</v>
      </c>
      <c r="X3" t="s">
        <v>363</v>
      </c>
    </row>
    <row r="4" spans="1:24" hidden="1" x14ac:dyDescent="0.3">
      <c r="A4" t="s">
        <v>37</v>
      </c>
      <c r="B4" t="s">
        <v>38</v>
      </c>
      <c r="C4">
        <v>38</v>
      </c>
      <c r="D4" t="s">
        <v>20</v>
      </c>
      <c r="E4" t="s">
        <v>39</v>
      </c>
      <c r="F4" t="s">
        <v>40</v>
      </c>
      <c r="G4" t="s">
        <v>41</v>
      </c>
      <c r="H4">
        <v>39</v>
      </c>
      <c r="I4">
        <v>3</v>
      </c>
      <c r="J4">
        <v>1</v>
      </c>
      <c r="K4">
        <v>1</v>
      </c>
      <c r="L4">
        <v>4</v>
      </c>
      <c r="M4">
        <v>10</v>
      </c>
      <c r="N4" t="s">
        <v>42</v>
      </c>
      <c r="O4" t="s">
        <v>43</v>
      </c>
      <c r="P4" t="s">
        <v>44</v>
      </c>
      <c r="Q4">
        <v>1000000</v>
      </c>
      <c r="R4" t="s">
        <v>45</v>
      </c>
      <c r="S4" t="str">
        <f>LOWER(TRIM(CLEAN(tbl_survey_clean[[#This Row],[Komentar]])))</f>
        <v>harga terjangkau untuk kualitas segini</v>
      </c>
      <c r="T4">
        <f>LEN(tbl_survey_clean[[#This Row],[Komentar_Clean]])</f>
        <v>38</v>
      </c>
      <c r="U4" t="str">
        <f t="shared" si="0"/>
        <v>Harga</v>
      </c>
      <c r="V4" t="str">
        <f t="shared" si="1"/>
        <v>Netral</v>
      </c>
      <c r="W4" s="6">
        <v>46029</v>
      </c>
      <c r="X4" t="s">
        <v>363</v>
      </c>
    </row>
    <row r="5" spans="1:24" hidden="1" x14ac:dyDescent="0.3">
      <c r="A5" t="s">
        <v>46</v>
      </c>
      <c r="B5" t="s">
        <v>47</v>
      </c>
      <c r="C5">
        <v>44</v>
      </c>
      <c r="D5" t="s">
        <v>20</v>
      </c>
      <c r="E5" t="s">
        <v>48</v>
      </c>
      <c r="F5" t="s">
        <v>49</v>
      </c>
      <c r="G5" t="s">
        <v>23</v>
      </c>
      <c r="H5">
        <v>12</v>
      </c>
      <c r="I5">
        <v>2</v>
      </c>
      <c r="J5">
        <v>2</v>
      </c>
      <c r="K5">
        <v>1</v>
      </c>
      <c r="L5">
        <v>2</v>
      </c>
      <c r="M5">
        <v>2</v>
      </c>
      <c r="N5" t="s">
        <v>33</v>
      </c>
      <c r="O5" t="s">
        <v>50</v>
      </c>
      <c r="P5" t="s">
        <v>51</v>
      </c>
      <c r="Q5">
        <v>5000000</v>
      </c>
      <c r="R5" t="s">
        <v>36</v>
      </c>
      <c r="S5" t="str">
        <f>LOWER(TRIM(CLEAN(tbl_survey_clean[[#This Row],[Komentar]])))</f>
        <v>harga naik tapi kualitas sama saja</v>
      </c>
      <c r="T5">
        <f>LEN(tbl_survey_clean[[#This Row],[Komentar_Clean]])</f>
        <v>34</v>
      </c>
      <c r="U5" t="str">
        <f t="shared" si="0"/>
        <v>Harga</v>
      </c>
      <c r="V5" t="str">
        <f t="shared" si="1"/>
        <v>Netral</v>
      </c>
      <c r="W5" s="6">
        <v>46093</v>
      </c>
      <c r="X5" t="s">
        <v>365</v>
      </c>
    </row>
    <row r="6" spans="1:24" hidden="1" x14ac:dyDescent="0.3">
      <c r="A6" t="s">
        <v>52</v>
      </c>
      <c r="B6" t="s">
        <v>53</v>
      </c>
      <c r="C6">
        <v>25</v>
      </c>
      <c r="D6" t="s">
        <v>54</v>
      </c>
      <c r="E6" t="s">
        <v>55</v>
      </c>
      <c r="F6" t="s">
        <v>56</v>
      </c>
      <c r="G6" t="s">
        <v>41</v>
      </c>
      <c r="H6">
        <v>6</v>
      </c>
      <c r="I6">
        <v>3</v>
      </c>
      <c r="J6">
        <v>5</v>
      </c>
      <c r="K6">
        <v>1</v>
      </c>
      <c r="L6">
        <v>4</v>
      </c>
      <c r="M6">
        <v>0</v>
      </c>
      <c r="N6" t="s">
        <v>33</v>
      </c>
      <c r="O6" t="s">
        <v>43</v>
      </c>
      <c r="P6" t="s">
        <v>26</v>
      </c>
      <c r="Q6">
        <v>100000</v>
      </c>
      <c r="R6" t="s">
        <v>57</v>
      </c>
      <c r="S6" t="str">
        <f>LOWER(TRIM(CLEAN(tbl_survey_clean[[#This Row],[Komentar]])))</f>
        <v>pengiriman agak lama dari estimasi</v>
      </c>
      <c r="T6">
        <f>LEN(tbl_survey_clean[[#This Row],[Komentar_Clean]])</f>
        <v>34</v>
      </c>
      <c r="U6" t="str">
        <f t="shared" si="0"/>
        <v>Pengiriman</v>
      </c>
      <c r="V6" t="str">
        <f t="shared" si="1"/>
        <v>Negatif</v>
      </c>
      <c r="W6" s="6">
        <v>46085</v>
      </c>
      <c r="X6" t="s">
        <v>365</v>
      </c>
    </row>
    <row r="7" spans="1:24" x14ac:dyDescent="0.3">
      <c r="A7" t="s">
        <v>58</v>
      </c>
      <c r="B7" t="s">
        <v>59</v>
      </c>
      <c r="C7">
        <v>51</v>
      </c>
      <c r="D7" t="s">
        <v>30</v>
      </c>
      <c r="E7" t="s">
        <v>60</v>
      </c>
      <c r="F7" t="s">
        <v>61</v>
      </c>
      <c r="G7" t="s">
        <v>23</v>
      </c>
      <c r="H7">
        <v>7</v>
      </c>
      <c r="I7">
        <v>5</v>
      </c>
      <c r="J7">
        <v>4</v>
      </c>
      <c r="K7">
        <v>1</v>
      </c>
      <c r="L7">
        <v>1</v>
      </c>
      <c r="M7">
        <v>8</v>
      </c>
      <c r="N7" t="s">
        <v>24</v>
      </c>
      <c r="O7" t="s">
        <v>50</v>
      </c>
      <c r="P7" t="s">
        <v>51</v>
      </c>
      <c r="Q7">
        <v>500000</v>
      </c>
      <c r="R7" t="s">
        <v>62</v>
      </c>
      <c r="S7" t="str">
        <f>LOWER(TRIM(CLEAN(tbl_survey_clean[[#This Row],[Komentar]])))</f>
        <v>produk sangat berkualitas, saya puas!</v>
      </c>
      <c r="T7">
        <f>LEN(tbl_survey_clean[[#This Row],[Komentar_Clean]])</f>
        <v>37</v>
      </c>
      <c r="U7" t="str">
        <f t="shared" si="0"/>
        <v>Produk</v>
      </c>
      <c r="V7" t="str">
        <f t="shared" si="1"/>
        <v>Positif</v>
      </c>
      <c r="W7" s="6">
        <v>46080</v>
      </c>
      <c r="X7" t="s">
        <v>364</v>
      </c>
    </row>
    <row r="8" spans="1:24" x14ac:dyDescent="0.3">
      <c r="A8" t="s">
        <v>63</v>
      </c>
      <c r="B8" t="s">
        <v>53</v>
      </c>
      <c r="C8">
        <v>29</v>
      </c>
      <c r="D8" t="s">
        <v>54</v>
      </c>
      <c r="E8" t="s">
        <v>64</v>
      </c>
      <c r="F8" t="s">
        <v>65</v>
      </c>
      <c r="G8" t="s">
        <v>23</v>
      </c>
      <c r="H8">
        <v>1</v>
      </c>
      <c r="I8">
        <v>1</v>
      </c>
      <c r="J8">
        <v>2</v>
      </c>
      <c r="K8">
        <v>5</v>
      </c>
      <c r="L8">
        <v>5</v>
      </c>
      <c r="M8">
        <v>5</v>
      </c>
      <c r="N8" t="s">
        <v>33</v>
      </c>
      <c r="O8" t="s">
        <v>34</v>
      </c>
      <c r="P8" t="s">
        <v>51</v>
      </c>
      <c r="Q8">
        <v>5000000</v>
      </c>
      <c r="R8" t="s">
        <v>66</v>
      </c>
      <c r="S8" t="str">
        <f>LOWER(TRIM(CLEAN(tbl_survey_clean[[#This Row],[Komentar]])))</f>
        <v>susah dihubungi ketika ada masalah</v>
      </c>
      <c r="T8">
        <f>LEN(tbl_survey_clean[[#This Row],[Komentar_Clean]])</f>
        <v>34</v>
      </c>
      <c r="U8" t="str">
        <f t="shared" si="0"/>
        <v>Lainnya</v>
      </c>
      <c r="V8" t="str">
        <f t="shared" si="1"/>
        <v>Negatif</v>
      </c>
      <c r="W8" s="6">
        <v>46058</v>
      </c>
      <c r="X8" t="s">
        <v>364</v>
      </c>
    </row>
    <row r="9" spans="1:24" hidden="1" x14ac:dyDescent="0.3">
      <c r="A9" t="s">
        <v>67</v>
      </c>
      <c r="B9" t="s">
        <v>68</v>
      </c>
      <c r="C9">
        <v>27</v>
      </c>
      <c r="D9" t="s">
        <v>54</v>
      </c>
      <c r="E9" t="s">
        <v>39</v>
      </c>
      <c r="F9" t="s">
        <v>40</v>
      </c>
      <c r="G9" t="s">
        <v>41</v>
      </c>
      <c r="H9">
        <v>14</v>
      </c>
      <c r="I9">
        <v>4</v>
      </c>
      <c r="J9">
        <v>1</v>
      </c>
      <c r="K9">
        <v>2</v>
      </c>
      <c r="L9">
        <v>1</v>
      </c>
      <c r="M9">
        <v>2</v>
      </c>
      <c r="N9" t="s">
        <v>33</v>
      </c>
      <c r="O9" t="s">
        <v>69</v>
      </c>
      <c r="P9" t="s">
        <v>51</v>
      </c>
      <c r="Q9">
        <v>1000000</v>
      </c>
      <c r="R9" t="s">
        <v>57</v>
      </c>
      <c r="S9" t="str">
        <f>LOWER(TRIM(CLEAN(tbl_survey_clean[[#This Row],[Komentar]])))</f>
        <v>pengiriman agak lama dari estimasi</v>
      </c>
      <c r="T9">
        <f>LEN(tbl_survey_clean[[#This Row],[Komentar_Clean]])</f>
        <v>34</v>
      </c>
      <c r="U9" t="str">
        <f t="shared" si="0"/>
        <v>Pengiriman</v>
      </c>
      <c r="V9" t="str">
        <f t="shared" si="1"/>
        <v>Negatif</v>
      </c>
      <c r="W9" s="6">
        <v>46049</v>
      </c>
      <c r="X9" t="s">
        <v>363</v>
      </c>
    </row>
    <row r="10" spans="1:24" hidden="1" x14ac:dyDescent="0.3">
      <c r="A10" t="s">
        <v>70</v>
      </c>
      <c r="B10" t="s">
        <v>71</v>
      </c>
      <c r="C10">
        <v>44</v>
      </c>
      <c r="D10" t="s">
        <v>20</v>
      </c>
      <c r="E10" t="s">
        <v>72</v>
      </c>
      <c r="F10" t="s">
        <v>73</v>
      </c>
      <c r="G10" t="s">
        <v>41</v>
      </c>
      <c r="H10">
        <v>36</v>
      </c>
      <c r="I10">
        <v>3</v>
      </c>
      <c r="J10">
        <v>5</v>
      </c>
      <c r="K10">
        <v>4</v>
      </c>
      <c r="L10">
        <v>5</v>
      </c>
      <c r="M10">
        <v>0</v>
      </c>
      <c r="N10" t="s">
        <v>33</v>
      </c>
      <c r="O10" t="s">
        <v>25</v>
      </c>
      <c r="P10" t="s">
        <v>26</v>
      </c>
      <c r="Q10">
        <v>250000</v>
      </c>
      <c r="R10" t="s">
        <v>66</v>
      </c>
      <c r="S10" t="str">
        <f>LOWER(TRIM(CLEAN(tbl_survey_clean[[#This Row],[Komentar]])))</f>
        <v>susah dihubungi ketika ada masalah</v>
      </c>
      <c r="T10">
        <f>LEN(tbl_survey_clean[[#This Row],[Komentar_Clean]])</f>
        <v>34</v>
      </c>
      <c r="U10" t="str">
        <f t="shared" si="0"/>
        <v>Lainnya</v>
      </c>
      <c r="V10" t="str">
        <f t="shared" si="1"/>
        <v>Negatif</v>
      </c>
      <c r="W10" s="6">
        <v>46196</v>
      </c>
      <c r="X10" t="s">
        <v>368</v>
      </c>
    </row>
    <row r="11" spans="1:24" hidden="1" x14ac:dyDescent="0.3">
      <c r="A11" t="s">
        <v>74</v>
      </c>
      <c r="B11" t="s">
        <v>75</v>
      </c>
      <c r="C11">
        <v>36</v>
      </c>
      <c r="D11" t="s">
        <v>20</v>
      </c>
      <c r="E11" t="s">
        <v>64</v>
      </c>
      <c r="F11" t="s">
        <v>65</v>
      </c>
      <c r="G11" t="s">
        <v>23</v>
      </c>
      <c r="H11">
        <v>17</v>
      </c>
      <c r="I11">
        <v>2</v>
      </c>
      <c r="J11">
        <v>1</v>
      </c>
      <c r="K11">
        <v>5</v>
      </c>
      <c r="L11">
        <v>2</v>
      </c>
      <c r="M11">
        <v>8</v>
      </c>
      <c r="N11" t="s">
        <v>24</v>
      </c>
      <c r="O11" t="s">
        <v>43</v>
      </c>
      <c r="P11" t="s">
        <v>44</v>
      </c>
      <c r="Q11">
        <v>250000</v>
      </c>
      <c r="R11" t="s">
        <v>45</v>
      </c>
      <c r="S11" t="str">
        <f>LOWER(TRIM(CLEAN(tbl_survey_clean[[#This Row],[Komentar]])))</f>
        <v>harga terjangkau untuk kualitas segini</v>
      </c>
      <c r="T11">
        <f>LEN(tbl_survey_clean[[#This Row],[Komentar_Clean]])</f>
        <v>38</v>
      </c>
      <c r="U11" t="str">
        <f t="shared" si="0"/>
        <v>Harga</v>
      </c>
      <c r="V11" t="str">
        <f t="shared" si="1"/>
        <v>Netral</v>
      </c>
      <c r="W11" s="6">
        <v>46162</v>
      </c>
      <c r="X11" t="s">
        <v>367</v>
      </c>
    </row>
    <row r="12" spans="1:24" hidden="1" x14ac:dyDescent="0.3">
      <c r="A12" t="s">
        <v>76</v>
      </c>
      <c r="B12" t="s">
        <v>77</v>
      </c>
      <c r="C12">
        <v>33</v>
      </c>
      <c r="D12" t="s">
        <v>54</v>
      </c>
      <c r="E12" t="s">
        <v>78</v>
      </c>
      <c r="F12" t="s">
        <v>79</v>
      </c>
      <c r="G12" t="s">
        <v>41</v>
      </c>
      <c r="H12">
        <v>10</v>
      </c>
      <c r="I12">
        <v>3</v>
      </c>
      <c r="J12">
        <v>3</v>
      </c>
      <c r="K12">
        <v>3</v>
      </c>
      <c r="L12">
        <v>4</v>
      </c>
      <c r="M12">
        <v>5</v>
      </c>
      <c r="N12" t="s">
        <v>33</v>
      </c>
      <c r="O12" t="s">
        <v>43</v>
      </c>
      <c r="P12" t="s">
        <v>35</v>
      </c>
      <c r="Q12">
        <v>5000000</v>
      </c>
      <c r="R12" t="s">
        <v>80</v>
      </c>
      <c r="S12" t="str">
        <f>LOWER(TRIM(CLEAN(tbl_survey_clean[[#This Row],[Komentar]])))</f>
        <v>proses return barang terlalu ribet</v>
      </c>
      <c r="T12">
        <f>LEN(tbl_survey_clean[[#This Row],[Komentar_Clean]])</f>
        <v>34</v>
      </c>
      <c r="U12" t="str">
        <f t="shared" si="0"/>
        <v>Lainnya</v>
      </c>
      <c r="V12" t="str">
        <f t="shared" si="1"/>
        <v>Negatif</v>
      </c>
      <c r="W12" s="6">
        <v>46045</v>
      </c>
      <c r="X12" t="s">
        <v>363</v>
      </c>
    </row>
    <row r="13" spans="1:24" hidden="1" x14ac:dyDescent="0.3">
      <c r="A13" t="s">
        <v>81</v>
      </c>
      <c r="B13" t="s">
        <v>82</v>
      </c>
      <c r="C13">
        <v>62</v>
      </c>
      <c r="D13" t="s">
        <v>83</v>
      </c>
      <c r="E13" t="s">
        <v>31</v>
      </c>
      <c r="F13" t="s">
        <v>32</v>
      </c>
      <c r="G13" t="s">
        <v>23</v>
      </c>
      <c r="H13">
        <v>29</v>
      </c>
      <c r="I13">
        <v>4</v>
      </c>
      <c r="J13">
        <v>3</v>
      </c>
      <c r="K13">
        <v>5</v>
      </c>
      <c r="L13">
        <v>5</v>
      </c>
      <c r="M13">
        <v>7</v>
      </c>
      <c r="N13" t="s">
        <v>24</v>
      </c>
      <c r="O13" t="s">
        <v>34</v>
      </c>
      <c r="P13" t="s">
        <v>35</v>
      </c>
      <c r="Q13">
        <v>500000</v>
      </c>
      <c r="R13" t="s">
        <v>84</v>
      </c>
      <c r="S13" t="str">
        <f>LOWER(TRIM(CLEAN(tbl_survey_clean[[#This Row],[Komentar]])))</f>
        <v>standar saja, tidak ada yang istimewa</v>
      </c>
      <c r="T13">
        <f>LEN(tbl_survey_clean[[#This Row],[Komentar_Clean]])</f>
        <v>37</v>
      </c>
      <c r="U13" t="str">
        <f t="shared" si="0"/>
        <v>Lainnya</v>
      </c>
      <c r="V13" t="str">
        <f t="shared" si="1"/>
        <v>Netral</v>
      </c>
      <c r="W13" s="6">
        <v>46174</v>
      </c>
      <c r="X13" t="s">
        <v>368</v>
      </c>
    </row>
    <row r="14" spans="1:24" hidden="1" x14ac:dyDescent="0.3">
      <c r="A14" t="s">
        <v>85</v>
      </c>
      <c r="B14" t="s">
        <v>86</v>
      </c>
      <c r="C14">
        <v>58</v>
      </c>
      <c r="D14" t="s">
        <v>83</v>
      </c>
      <c r="E14" t="s">
        <v>78</v>
      </c>
      <c r="F14" t="s">
        <v>79</v>
      </c>
      <c r="G14" t="s">
        <v>41</v>
      </c>
      <c r="H14">
        <v>35</v>
      </c>
      <c r="I14">
        <v>2</v>
      </c>
      <c r="J14">
        <v>4</v>
      </c>
      <c r="K14">
        <v>2</v>
      </c>
      <c r="L14">
        <v>1</v>
      </c>
      <c r="M14">
        <v>3</v>
      </c>
      <c r="N14" t="s">
        <v>33</v>
      </c>
      <c r="O14" t="s">
        <v>43</v>
      </c>
      <c r="P14" t="s">
        <v>51</v>
      </c>
      <c r="Q14">
        <v>500000</v>
      </c>
      <c r="R14" t="s">
        <v>87</v>
      </c>
      <c r="S14" t="str">
        <f>LOWER(TRIM(CLEAN(tbl_survey_clean[[#This Row],[Komentar]])))</f>
        <v>perlu peningkatan pada packaging</v>
      </c>
      <c r="T14">
        <f>LEN(tbl_survey_clean[[#This Row],[Komentar_Clean]])</f>
        <v>32</v>
      </c>
      <c r="U14" t="str">
        <f t="shared" si="0"/>
        <v>Lainnya</v>
      </c>
      <c r="V14" t="str">
        <f t="shared" si="1"/>
        <v>Netral</v>
      </c>
      <c r="W14" s="6">
        <v>46131</v>
      </c>
      <c r="X14" t="s">
        <v>366</v>
      </c>
    </row>
    <row r="15" spans="1:24" hidden="1" x14ac:dyDescent="0.3">
      <c r="A15" t="s">
        <v>88</v>
      </c>
      <c r="B15" t="s">
        <v>89</v>
      </c>
      <c r="C15">
        <v>17</v>
      </c>
      <c r="D15" t="s">
        <v>90</v>
      </c>
      <c r="E15" t="s">
        <v>91</v>
      </c>
      <c r="F15" t="s">
        <v>73</v>
      </c>
      <c r="G15" t="s">
        <v>41</v>
      </c>
      <c r="H15">
        <v>3</v>
      </c>
      <c r="I15">
        <v>5</v>
      </c>
      <c r="J15">
        <v>1</v>
      </c>
      <c r="K15">
        <v>1</v>
      </c>
      <c r="L15">
        <v>5</v>
      </c>
      <c r="M15">
        <v>6</v>
      </c>
      <c r="N15" t="s">
        <v>33</v>
      </c>
      <c r="O15" t="s">
        <v>43</v>
      </c>
      <c r="P15" t="s">
        <v>51</v>
      </c>
      <c r="Q15">
        <v>250000</v>
      </c>
      <c r="R15" t="s">
        <v>92</v>
      </c>
      <c r="S15" t="str">
        <f>LOWER(TRIM(CLEAN(tbl_survey_clean[[#This Row],[Komentar]])))</f>
        <v>cukup baik untuk harganya</v>
      </c>
      <c r="T15">
        <f>LEN(tbl_survey_clean[[#This Row],[Komentar_Clean]])</f>
        <v>25</v>
      </c>
      <c r="U15" t="str">
        <f t="shared" si="0"/>
        <v>Harga</v>
      </c>
      <c r="V15" t="str">
        <f t="shared" si="1"/>
        <v>Netral</v>
      </c>
      <c r="W15" s="6">
        <v>46031</v>
      </c>
      <c r="X15" t="s">
        <v>363</v>
      </c>
    </row>
    <row r="16" spans="1:24" hidden="1" x14ac:dyDescent="0.3">
      <c r="A16" t="s">
        <v>93</v>
      </c>
      <c r="B16" t="s">
        <v>94</v>
      </c>
      <c r="C16">
        <v>37</v>
      </c>
      <c r="D16" t="s">
        <v>20</v>
      </c>
      <c r="E16" t="s">
        <v>95</v>
      </c>
      <c r="F16" t="s">
        <v>96</v>
      </c>
      <c r="G16" t="s">
        <v>23</v>
      </c>
      <c r="H16">
        <v>22</v>
      </c>
      <c r="I16">
        <v>5</v>
      </c>
      <c r="J16">
        <v>5</v>
      </c>
      <c r="K16">
        <v>2</v>
      </c>
      <c r="L16">
        <v>3</v>
      </c>
      <c r="M16">
        <v>9</v>
      </c>
      <c r="N16" t="s">
        <v>42</v>
      </c>
      <c r="O16" t="s">
        <v>43</v>
      </c>
      <c r="P16" t="s">
        <v>44</v>
      </c>
      <c r="Q16">
        <v>5000000</v>
      </c>
      <c r="R16" t="s">
        <v>97</v>
      </c>
      <c r="S16" t="str">
        <f>LOWER(TRIM(CLEAN(tbl_survey_clean[[#This Row],[Komentar]])))</f>
        <v>pengiriman cepat dan packaging aman</v>
      </c>
      <c r="T16">
        <f>LEN(tbl_survey_clean[[#This Row],[Komentar_Clean]])</f>
        <v>35</v>
      </c>
      <c r="U16" t="str">
        <f t="shared" si="0"/>
        <v>Pengiriman</v>
      </c>
      <c r="V16" t="str">
        <f t="shared" si="1"/>
        <v>Positif</v>
      </c>
      <c r="W16" s="6">
        <v>46030</v>
      </c>
      <c r="X16" t="s">
        <v>363</v>
      </c>
    </row>
    <row r="17" spans="1:24" hidden="1" x14ac:dyDescent="0.3">
      <c r="A17" t="s">
        <v>98</v>
      </c>
      <c r="B17" t="s">
        <v>99</v>
      </c>
      <c r="C17">
        <v>49</v>
      </c>
      <c r="D17" t="s">
        <v>30</v>
      </c>
      <c r="E17" t="s">
        <v>100</v>
      </c>
      <c r="F17" t="s">
        <v>61</v>
      </c>
      <c r="G17" t="s">
        <v>23</v>
      </c>
      <c r="H17">
        <v>33</v>
      </c>
      <c r="I17">
        <v>1</v>
      </c>
      <c r="J17">
        <v>4</v>
      </c>
      <c r="K17">
        <v>4</v>
      </c>
      <c r="L17">
        <v>4</v>
      </c>
      <c r="M17">
        <v>8</v>
      </c>
      <c r="N17" t="s">
        <v>24</v>
      </c>
      <c r="O17" t="s">
        <v>34</v>
      </c>
      <c r="P17" t="s">
        <v>26</v>
      </c>
      <c r="Q17">
        <v>50000</v>
      </c>
      <c r="R17" t="s">
        <v>45</v>
      </c>
      <c r="S17" t="str">
        <f>LOWER(TRIM(CLEAN(tbl_survey_clean[[#This Row],[Komentar]])))</f>
        <v>harga terjangkau untuk kualitas segini</v>
      </c>
      <c r="T17">
        <f>LEN(tbl_survey_clean[[#This Row],[Komentar_Clean]])</f>
        <v>38</v>
      </c>
      <c r="U17" t="str">
        <f t="shared" si="0"/>
        <v>Harga</v>
      </c>
      <c r="V17" t="str">
        <f t="shared" si="1"/>
        <v>Netral</v>
      </c>
      <c r="W17" s="6">
        <v>46046</v>
      </c>
      <c r="X17" t="s">
        <v>363</v>
      </c>
    </row>
    <row r="18" spans="1:24" x14ac:dyDescent="0.3">
      <c r="A18" t="s">
        <v>101</v>
      </c>
      <c r="B18" t="s">
        <v>102</v>
      </c>
      <c r="C18">
        <v>59</v>
      </c>
      <c r="D18" t="s">
        <v>83</v>
      </c>
      <c r="E18" t="s">
        <v>55</v>
      </c>
      <c r="F18" t="s">
        <v>56</v>
      </c>
      <c r="G18" t="s">
        <v>23</v>
      </c>
      <c r="H18">
        <v>14</v>
      </c>
      <c r="I18">
        <v>3</v>
      </c>
      <c r="J18">
        <v>3</v>
      </c>
      <c r="K18">
        <v>3</v>
      </c>
      <c r="L18">
        <v>4</v>
      </c>
      <c r="M18">
        <v>0</v>
      </c>
      <c r="N18" t="s">
        <v>33</v>
      </c>
      <c r="O18" t="s">
        <v>69</v>
      </c>
      <c r="P18" t="s">
        <v>44</v>
      </c>
      <c r="Q18">
        <v>5000000</v>
      </c>
      <c r="R18" t="s">
        <v>87</v>
      </c>
      <c r="S18" t="str">
        <f>LOWER(TRIM(CLEAN(tbl_survey_clean[[#This Row],[Komentar]])))</f>
        <v>perlu peningkatan pada packaging</v>
      </c>
      <c r="T18">
        <f>LEN(tbl_survey_clean[[#This Row],[Komentar_Clean]])</f>
        <v>32</v>
      </c>
      <c r="U18" t="str">
        <f t="shared" si="0"/>
        <v>Lainnya</v>
      </c>
      <c r="V18" t="str">
        <f t="shared" si="1"/>
        <v>Netral</v>
      </c>
      <c r="W18" s="6">
        <v>46078</v>
      </c>
      <c r="X18" t="s">
        <v>364</v>
      </c>
    </row>
    <row r="19" spans="1:24" hidden="1" x14ac:dyDescent="0.3">
      <c r="A19" t="s">
        <v>103</v>
      </c>
      <c r="B19" t="s">
        <v>104</v>
      </c>
      <c r="C19">
        <v>45</v>
      </c>
      <c r="D19" t="s">
        <v>30</v>
      </c>
      <c r="E19" t="s">
        <v>105</v>
      </c>
      <c r="F19" t="s">
        <v>106</v>
      </c>
      <c r="G19" t="s">
        <v>23</v>
      </c>
      <c r="H19">
        <v>39</v>
      </c>
      <c r="I19">
        <v>5</v>
      </c>
      <c r="J19">
        <v>1</v>
      </c>
      <c r="K19">
        <v>1</v>
      </c>
      <c r="L19">
        <v>3</v>
      </c>
      <c r="M19">
        <v>3</v>
      </c>
      <c r="N19" t="s">
        <v>33</v>
      </c>
      <c r="O19" t="s">
        <v>107</v>
      </c>
      <c r="P19" t="s">
        <v>108</v>
      </c>
      <c r="Q19">
        <v>50000</v>
      </c>
      <c r="R19" t="s">
        <v>80</v>
      </c>
      <c r="S19" t="str">
        <f>LOWER(TRIM(CLEAN(tbl_survey_clean[[#This Row],[Komentar]])))</f>
        <v>proses return barang terlalu ribet</v>
      </c>
      <c r="T19">
        <f>LEN(tbl_survey_clean[[#This Row],[Komentar_Clean]])</f>
        <v>34</v>
      </c>
      <c r="U19" t="str">
        <f t="shared" si="0"/>
        <v>Lainnya</v>
      </c>
      <c r="V19" t="str">
        <f t="shared" si="1"/>
        <v>Negatif</v>
      </c>
      <c r="W19" s="6">
        <v>46082</v>
      </c>
      <c r="X19" t="s">
        <v>365</v>
      </c>
    </row>
    <row r="20" spans="1:24" hidden="1" x14ac:dyDescent="0.3">
      <c r="A20" t="s">
        <v>109</v>
      </c>
      <c r="B20" t="s">
        <v>110</v>
      </c>
      <c r="C20">
        <v>51</v>
      </c>
      <c r="D20" t="s">
        <v>30</v>
      </c>
      <c r="E20" t="s">
        <v>78</v>
      </c>
      <c r="F20" t="s">
        <v>79</v>
      </c>
      <c r="G20" t="s">
        <v>23</v>
      </c>
      <c r="H20">
        <v>45</v>
      </c>
      <c r="I20">
        <v>4</v>
      </c>
      <c r="J20">
        <v>5</v>
      </c>
      <c r="K20">
        <v>5</v>
      </c>
      <c r="L20">
        <v>5</v>
      </c>
      <c r="M20">
        <v>6</v>
      </c>
      <c r="N20" t="s">
        <v>33</v>
      </c>
      <c r="O20" t="s">
        <v>25</v>
      </c>
      <c r="P20" t="s">
        <v>51</v>
      </c>
      <c r="Q20">
        <v>1000000</v>
      </c>
      <c r="R20" t="s">
        <v>92</v>
      </c>
      <c r="S20" t="str">
        <f>LOWER(TRIM(CLEAN(tbl_survey_clean[[#This Row],[Komentar]])))</f>
        <v>cukup baik untuk harganya</v>
      </c>
      <c r="T20">
        <f>LEN(tbl_survey_clean[[#This Row],[Komentar_Clean]])</f>
        <v>25</v>
      </c>
      <c r="U20" t="str">
        <f t="shared" si="0"/>
        <v>Harga</v>
      </c>
      <c r="V20" t="str">
        <f t="shared" si="1"/>
        <v>Netral</v>
      </c>
      <c r="W20" s="6">
        <v>46152</v>
      </c>
      <c r="X20" t="s">
        <v>367</v>
      </c>
    </row>
    <row r="21" spans="1:24" hidden="1" x14ac:dyDescent="0.3">
      <c r="A21" t="s">
        <v>111</v>
      </c>
      <c r="B21" t="s">
        <v>112</v>
      </c>
      <c r="C21">
        <v>47</v>
      </c>
      <c r="D21" t="s">
        <v>30</v>
      </c>
      <c r="E21" t="s">
        <v>95</v>
      </c>
      <c r="F21" t="s">
        <v>96</v>
      </c>
      <c r="G21" t="s">
        <v>23</v>
      </c>
      <c r="H21">
        <v>15</v>
      </c>
      <c r="I21">
        <v>1</v>
      </c>
      <c r="J21">
        <v>3</v>
      </c>
      <c r="K21">
        <v>4</v>
      </c>
      <c r="L21">
        <v>2</v>
      </c>
      <c r="M21">
        <v>4</v>
      </c>
      <c r="N21" t="s">
        <v>33</v>
      </c>
      <c r="O21" t="s">
        <v>69</v>
      </c>
      <c r="P21" t="s">
        <v>26</v>
      </c>
      <c r="Q21">
        <v>50000</v>
      </c>
      <c r="R21" t="s">
        <v>66</v>
      </c>
      <c r="S21" t="str">
        <f>LOWER(TRIM(CLEAN(tbl_survey_clean[[#This Row],[Komentar]])))</f>
        <v>susah dihubungi ketika ada masalah</v>
      </c>
      <c r="T21">
        <f>LEN(tbl_survey_clean[[#This Row],[Komentar_Clean]])</f>
        <v>34</v>
      </c>
      <c r="U21" t="str">
        <f t="shared" si="0"/>
        <v>Lainnya</v>
      </c>
      <c r="V21" t="str">
        <f t="shared" si="1"/>
        <v>Negatif</v>
      </c>
      <c r="W21" s="6">
        <v>46177</v>
      </c>
      <c r="X21" t="s">
        <v>368</v>
      </c>
    </row>
    <row r="22" spans="1:24" hidden="1" x14ac:dyDescent="0.3">
      <c r="A22" t="s">
        <v>113</v>
      </c>
      <c r="B22" t="s">
        <v>114</v>
      </c>
      <c r="C22">
        <v>25</v>
      </c>
      <c r="D22" t="s">
        <v>54</v>
      </c>
      <c r="E22" t="s">
        <v>115</v>
      </c>
      <c r="F22" t="s">
        <v>22</v>
      </c>
      <c r="G22" t="s">
        <v>41</v>
      </c>
      <c r="H22">
        <v>34</v>
      </c>
      <c r="I22">
        <v>2</v>
      </c>
      <c r="J22">
        <v>5</v>
      </c>
      <c r="K22">
        <v>2</v>
      </c>
      <c r="L22">
        <v>5</v>
      </c>
      <c r="M22">
        <v>7</v>
      </c>
      <c r="N22" t="s">
        <v>24</v>
      </c>
      <c r="O22" t="s">
        <v>34</v>
      </c>
      <c r="P22" t="s">
        <v>44</v>
      </c>
      <c r="Q22">
        <v>100000</v>
      </c>
      <c r="R22" t="s">
        <v>92</v>
      </c>
      <c r="S22" t="str">
        <f>LOWER(TRIM(CLEAN(tbl_survey_clean[[#This Row],[Komentar]])))</f>
        <v>cukup baik untuk harganya</v>
      </c>
      <c r="T22">
        <f>LEN(tbl_survey_clean[[#This Row],[Komentar_Clean]])</f>
        <v>25</v>
      </c>
      <c r="U22" t="str">
        <f t="shared" si="0"/>
        <v>Harga</v>
      </c>
      <c r="V22" t="str">
        <f t="shared" si="1"/>
        <v>Netral</v>
      </c>
      <c r="W22" s="6">
        <v>46029</v>
      </c>
      <c r="X22" t="s">
        <v>363</v>
      </c>
    </row>
    <row r="23" spans="1:24" hidden="1" x14ac:dyDescent="0.3">
      <c r="A23" t="s">
        <v>116</v>
      </c>
      <c r="B23" t="s">
        <v>117</v>
      </c>
      <c r="C23">
        <v>52</v>
      </c>
      <c r="D23" t="s">
        <v>30</v>
      </c>
      <c r="E23" t="s">
        <v>118</v>
      </c>
      <c r="F23" t="s">
        <v>79</v>
      </c>
      <c r="G23" t="s">
        <v>41</v>
      </c>
      <c r="H23">
        <v>12</v>
      </c>
      <c r="I23">
        <v>4</v>
      </c>
      <c r="J23">
        <v>1</v>
      </c>
      <c r="K23">
        <v>4</v>
      </c>
      <c r="L23">
        <v>2</v>
      </c>
      <c r="M23">
        <v>9</v>
      </c>
      <c r="N23" t="s">
        <v>42</v>
      </c>
      <c r="O23" t="s">
        <v>69</v>
      </c>
      <c r="P23" t="s">
        <v>108</v>
      </c>
      <c r="Q23">
        <v>1000000</v>
      </c>
      <c r="R23" t="s">
        <v>97</v>
      </c>
      <c r="S23" t="str">
        <f>LOWER(TRIM(CLEAN(tbl_survey_clean[[#This Row],[Komentar]])))</f>
        <v>pengiriman cepat dan packaging aman</v>
      </c>
      <c r="T23">
        <f>LEN(tbl_survey_clean[[#This Row],[Komentar_Clean]])</f>
        <v>35</v>
      </c>
      <c r="U23" t="str">
        <f t="shared" si="0"/>
        <v>Pengiriman</v>
      </c>
      <c r="V23" t="str">
        <f t="shared" si="1"/>
        <v>Positif</v>
      </c>
      <c r="W23" s="6">
        <v>46166</v>
      </c>
      <c r="X23" t="s">
        <v>367</v>
      </c>
    </row>
    <row r="24" spans="1:24" x14ac:dyDescent="0.3">
      <c r="A24" t="s">
        <v>119</v>
      </c>
      <c r="B24" t="s">
        <v>120</v>
      </c>
      <c r="C24">
        <v>27</v>
      </c>
      <c r="D24" t="s">
        <v>54</v>
      </c>
      <c r="E24" t="s">
        <v>64</v>
      </c>
      <c r="F24" t="s">
        <v>65</v>
      </c>
      <c r="G24" t="s">
        <v>41</v>
      </c>
      <c r="H24">
        <v>15</v>
      </c>
      <c r="I24">
        <v>2</v>
      </c>
      <c r="J24">
        <v>1</v>
      </c>
      <c r="K24">
        <v>1</v>
      </c>
      <c r="L24">
        <v>1</v>
      </c>
      <c r="M24">
        <v>0</v>
      </c>
      <c r="N24" t="s">
        <v>33</v>
      </c>
      <c r="O24" t="s">
        <v>43</v>
      </c>
      <c r="P24" t="s">
        <v>108</v>
      </c>
      <c r="Q24">
        <v>100000</v>
      </c>
      <c r="R24" t="s">
        <v>121</v>
      </c>
      <c r="S24" t="str">
        <f>LOWER(TRIM(CLEAN(tbl_survey_clean[[#This Row],[Komentar]])))</f>
        <v>ada beberapa produk yang tidak sesuai foto</v>
      </c>
      <c r="T24">
        <f>LEN(tbl_survey_clean[[#This Row],[Komentar_Clean]])</f>
        <v>42</v>
      </c>
      <c r="U24" t="str">
        <f t="shared" si="0"/>
        <v>Produk</v>
      </c>
      <c r="V24" t="str">
        <f t="shared" si="1"/>
        <v>Netral</v>
      </c>
      <c r="W24" s="6">
        <v>46073</v>
      </c>
      <c r="X24" t="s">
        <v>364</v>
      </c>
    </row>
    <row r="25" spans="1:24" hidden="1" x14ac:dyDescent="0.3">
      <c r="A25" t="s">
        <v>122</v>
      </c>
      <c r="B25" t="s">
        <v>123</v>
      </c>
      <c r="C25">
        <v>44</v>
      </c>
      <c r="D25" t="s">
        <v>20</v>
      </c>
      <c r="E25" t="s">
        <v>124</v>
      </c>
      <c r="F25" t="s">
        <v>125</v>
      </c>
      <c r="G25" t="s">
        <v>23</v>
      </c>
      <c r="H25">
        <v>41</v>
      </c>
      <c r="I25">
        <v>4</v>
      </c>
      <c r="J25">
        <v>1</v>
      </c>
      <c r="K25">
        <v>1</v>
      </c>
      <c r="L25">
        <v>1</v>
      </c>
      <c r="M25">
        <v>8</v>
      </c>
      <c r="N25" t="s">
        <v>24</v>
      </c>
      <c r="O25" t="s">
        <v>69</v>
      </c>
      <c r="P25" t="s">
        <v>51</v>
      </c>
      <c r="Q25">
        <v>1000000</v>
      </c>
      <c r="R25" t="s">
        <v>126</v>
      </c>
      <c r="S25" t="str">
        <f>LOWER(TRIM(CLEAN(tbl_survey_clean[[#This Row],[Komentar]])))</f>
        <v>sudah berlangganan 2 tahun, selalu puas</v>
      </c>
      <c r="T25">
        <f>LEN(tbl_survey_clean[[#This Row],[Komentar_Clean]])</f>
        <v>39</v>
      </c>
      <c r="U25" t="str">
        <f t="shared" si="0"/>
        <v>Lainnya</v>
      </c>
      <c r="V25" t="str">
        <f t="shared" si="1"/>
        <v>Positif</v>
      </c>
      <c r="W25" s="6">
        <v>46189</v>
      </c>
      <c r="X25" t="s">
        <v>368</v>
      </c>
    </row>
    <row r="26" spans="1:24" hidden="1" x14ac:dyDescent="0.3">
      <c r="A26" t="s">
        <v>127</v>
      </c>
      <c r="B26" t="s">
        <v>128</v>
      </c>
      <c r="C26">
        <v>52</v>
      </c>
      <c r="D26" t="s">
        <v>30</v>
      </c>
      <c r="E26" t="s">
        <v>129</v>
      </c>
      <c r="F26" t="s">
        <v>130</v>
      </c>
      <c r="G26" t="s">
        <v>41</v>
      </c>
      <c r="H26">
        <v>19</v>
      </c>
      <c r="I26">
        <v>1</v>
      </c>
      <c r="J26">
        <v>3</v>
      </c>
      <c r="K26">
        <v>2</v>
      </c>
      <c r="L26">
        <v>3</v>
      </c>
      <c r="M26">
        <v>6</v>
      </c>
      <c r="N26" t="s">
        <v>33</v>
      </c>
      <c r="O26" t="s">
        <v>107</v>
      </c>
      <c r="P26" t="s">
        <v>26</v>
      </c>
      <c r="Q26">
        <v>50000</v>
      </c>
      <c r="R26" t="s">
        <v>84</v>
      </c>
      <c r="S26" t="str">
        <f>LOWER(TRIM(CLEAN(tbl_survey_clean[[#This Row],[Komentar]])))</f>
        <v>standar saja, tidak ada yang istimewa</v>
      </c>
      <c r="T26">
        <f>LEN(tbl_survey_clean[[#This Row],[Komentar_Clean]])</f>
        <v>37</v>
      </c>
      <c r="U26" t="str">
        <f t="shared" si="0"/>
        <v>Lainnya</v>
      </c>
      <c r="V26" t="str">
        <f t="shared" si="1"/>
        <v>Netral</v>
      </c>
      <c r="W26" s="6">
        <v>46202</v>
      </c>
      <c r="X26" t="s">
        <v>368</v>
      </c>
    </row>
    <row r="27" spans="1:24" hidden="1" x14ac:dyDescent="0.3">
      <c r="A27" t="s">
        <v>131</v>
      </c>
      <c r="B27" t="s">
        <v>75</v>
      </c>
      <c r="C27">
        <v>32</v>
      </c>
      <c r="D27" t="s">
        <v>54</v>
      </c>
      <c r="E27" t="s">
        <v>91</v>
      </c>
      <c r="F27" t="s">
        <v>73</v>
      </c>
      <c r="G27" t="s">
        <v>41</v>
      </c>
      <c r="H27">
        <v>27</v>
      </c>
      <c r="I27">
        <v>1</v>
      </c>
      <c r="J27">
        <v>5</v>
      </c>
      <c r="K27">
        <v>5</v>
      </c>
      <c r="L27">
        <v>1</v>
      </c>
      <c r="M27">
        <v>7</v>
      </c>
      <c r="N27" t="s">
        <v>24</v>
      </c>
      <c r="O27" t="s">
        <v>34</v>
      </c>
      <c r="P27" t="s">
        <v>26</v>
      </c>
      <c r="Q27">
        <v>5000000</v>
      </c>
      <c r="R27" t="s">
        <v>27</v>
      </c>
      <c r="S27" t="str">
        <f>LOWER(TRIM(CLEAN(tbl_survey_clean[[#This Row],[Komentar]])))</f>
        <v>perlu beberapa perbaikan minor</v>
      </c>
      <c r="T27">
        <f>LEN(tbl_survey_clean[[#This Row],[Komentar_Clean]])</f>
        <v>30</v>
      </c>
      <c r="U27" t="str">
        <f t="shared" si="0"/>
        <v>Lainnya</v>
      </c>
      <c r="V27" t="str">
        <f t="shared" si="1"/>
        <v>Negatif</v>
      </c>
      <c r="W27" s="6">
        <v>46162</v>
      </c>
      <c r="X27" t="s">
        <v>367</v>
      </c>
    </row>
    <row r="28" spans="1:24" hidden="1" x14ac:dyDescent="0.3">
      <c r="A28" t="s">
        <v>132</v>
      </c>
      <c r="B28" t="s">
        <v>75</v>
      </c>
      <c r="C28">
        <v>54</v>
      </c>
      <c r="D28" t="s">
        <v>30</v>
      </c>
      <c r="E28" t="s">
        <v>55</v>
      </c>
      <c r="F28" t="s">
        <v>56</v>
      </c>
      <c r="G28" t="s">
        <v>23</v>
      </c>
      <c r="H28">
        <v>2</v>
      </c>
      <c r="I28">
        <v>3</v>
      </c>
      <c r="J28">
        <v>1</v>
      </c>
      <c r="K28">
        <v>1</v>
      </c>
      <c r="L28">
        <v>1</v>
      </c>
      <c r="M28">
        <v>3</v>
      </c>
      <c r="N28" t="s">
        <v>33</v>
      </c>
      <c r="O28" t="s">
        <v>34</v>
      </c>
      <c r="P28" t="s">
        <v>44</v>
      </c>
      <c r="Q28">
        <v>500000</v>
      </c>
      <c r="R28" t="s">
        <v>80</v>
      </c>
      <c r="S28" t="str">
        <f>LOWER(TRIM(CLEAN(tbl_survey_clean[[#This Row],[Komentar]])))</f>
        <v>proses return barang terlalu ribet</v>
      </c>
      <c r="T28">
        <f>LEN(tbl_survey_clean[[#This Row],[Komentar_Clean]])</f>
        <v>34</v>
      </c>
      <c r="U28" t="str">
        <f t="shared" si="0"/>
        <v>Lainnya</v>
      </c>
      <c r="V28" t="str">
        <f t="shared" si="1"/>
        <v>Negatif</v>
      </c>
      <c r="W28" s="6">
        <v>46130</v>
      </c>
      <c r="X28" t="s">
        <v>366</v>
      </c>
    </row>
    <row r="29" spans="1:24" x14ac:dyDescent="0.3">
      <c r="A29" t="s">
        <v>133</v>
      </c>
      <c r="B29" t="s">
        <v>99</v>
      </c>
      <c r="C29">
        <v>38</v>
      </c>
      <c r="D29" t="s">
        <v>20</v>
      </c>
      <c r="E29" t="s">
        <v>134</v>
      </c>
      <c r="F29" t="s">
        <v>73</v>
      </c>
      <c r="G29" t="s">
        <v>23</v>
      </c>
      <c r="H29">
        <v>45</v>
      </c>
      <c r="I29">
        <v>5</v>
      </c>
      <c r="J29">
        <v>4</v>
      </c>
      <c r="K29">
        <v>4</v>
      </c>
      <c r="L29">
        <v>1</v>
      </c>
      <c r="M29">
        <v>5</v>
      </c>
      <c r="N29" t="s">
        <v>33</v>
      </c>
      <c r="O29" t="s">
        <v>69</v>
      </c>
      <c r="P29" t="s">
        <v>51</v>
      </c>
      <c r="Q29">
        <v>50000</v>
      </c>
      <c r="R29" t="s">
        <v>57</v>
      </c>
      <c r="S29" t="str">
        <f>LOWER(TRIM(CLEAN(tbl_survey_clean[[#This Row],[Komentar]])))</f>
        <v>pengiriman agak lama dari estimasi</v>
      </c>
      <c r="T29">
        <f>LEN(tbl_survey_clean[[#This Row],[Komentar_Clean]])</f>
        <v>34</v>
      </c>
      <c r="U29" t="str">
        <f t="shared" si="0"/>
        <v>Pengiriman</v>
      </c>
      <c r="V29" t="str">
        <f t="shared" si="1"/>
        <v>Negatif</v>
      </c>
      <c r="W29" s="6">
        <v>46079</v>
      </c>
      <c r="X29" t="s">
        <v>364</v>
      </c>
    </row>
    <row r="30" spans="1:24" hidden="1" x14ac:dyDescent="0.3">
      <c r="A30" t="s">
        <v>135</v>
      </c>
      <c r="B30" t="s">
        <v>136</v>
      </c>
      <c r="C30">
        <v>22</v>
      </c>
      <c r="D30" t="s">
        <v>90</v>
      </c>
      <c r="E30" t="s">
        <v>124</v>
      </c>
      <c r="F30" t="s">
        <v>125</v>
      </c>
      <c r="G30" t="s">
        <v>41</v>
      </c>
      <c r="H30">
        <v>46</v>
      </c>
      <c r="I30">
        <v>1</v>
      </c>
      <c r="J30">
        <v>1</v>
      </c>
      <c r="K30">
        <v>4</v>
      </c>
      <c r="L30">
        <v>3</v>
      </c>
      <c r="M30">
        <v>4</v>
      </c>
      <c r="N30" t="s">
        <v>33</v>
      </c>
      <c r="O30" t="s">
        <v>25</v>
      </c>
      <c r="P30" t="s">
        <v>44</v>
      </c>
      <c r="Q30">
        <v>50000</v>
      </c>
      <c r="R30" t="s">
        <v>57</v>
      </c>
      <c r="S30" t="str">
        <f>LOWER(TRIM(CLEAN(tbl_survey_clean[[#This Row],[Komentar]])))</f>
        <v>pengiriman agak lama dari estimasi</v>
      </c>
      <c r="T30">
        <f>LEN(tbl_survey_clean[[#This Row],[Komentar_Clean]])</f>
        <v>34</v>
      </c>
      <c r="U30" t="str">
        <f t="shared" si="0"/>
        <v>Pengiriman</v>
      </c>
      <c r="V30" t="str">
        <f t="shared" si="1"/>
        <v>Negatif</v>
      </c>
      <c r="W30" s="6">
        <v>46137</v>
      </c>
      <c r="X30" t="s">
        <v>366</v>
      </c>
    </row>
    <row r="31" spans="1:24" hidden="1" x14ac:dyDescent="0.3">
      <c r="A31" t="s">
        <v>137</v>
      </c>
      <c r="B31" t="s">
        <v>138</v>
      </c>
      <c r="C31">
        <v>51</v>
      </c>
      <c r="D31" t="s">
        <v>30</v>
      </c>
      <c r="E31" t="s">
        <v>39</v>
      </c>
      <c r="F31" t="s">
        <v>40</v>
      </c>
      <c r="G31" t="s">
        <v>41</v>
      </c>
      <c r="H31">
        <v>40</v>
      </c>
      <c r="I31">
        <v>3</v>
      </c>
      <c r="J31">
        <v>1</v>
      </c>
      <c r="K31">
        <v>4</v>
      </c>
      <c r="L31">
        <v>5</v>
      </c>
      <c r="M31">
        <v>9</v>
      </c>
      <c r="N31" t="s">
        <v>42</v>
      </c>
      <c r="O31" t="s">
        <v>25</v>
      </c>
      <c r="P31" t="s">
        <v>108</v>
      </c>
      <c r="Q31">
        <v>500000</v>
      </c>
      <c r="R31" t="s">
        <v>45</v>
      </c>
      <c r="S31" t="str">
        <f>LOWER(TRIM(CLEAN(tbl_survey_clean[[#This Row],[Komentar]])))</f>
        <v>harga terjangkau untuk kualitas segini</v>
      </c>
      <c r="T31">
        <f>LEN(tbl_survey_clean[[#This Row],[Komentar_Clean]])</f>
        <v>38</v>
      </c>
      <c r="U31" t="str">
        <f t="shared" si="0"/>
        <v>Harga</v>
      </c>
      <c r="V31" t="str">
        <f t="shared" si="1"/>
        <v>Netral</v>
      </c>
      <c r="W31" s="6">
        <v>46173</v>
      </c>
      <c r="X31" t="s">
        <v>367</v>
      </c>
    </row>
    <row r="32" spans="1:24" hidden="1" x14ac:dyDescent="0.3">
      <c r="A32" t="s">
        <v>139</v>
      </c>
      <c r="B32" t="s">
        <v>128</v>
      </c>
      <c r="C32">
        <v>44</v>
      </c>
      <c r="D32" t="s">
        <v>20</v>
      </c>
      <c r="E32" t="s">
        <v>140</v>
      </c>
      <c r="F32" t="s">
        <v>40</v>
      </c>
      <c r="G32" t="s">
        <v>23</v>
      </c>
      <c r="H32">
        <v>25</v>
      </c>
      <c r="I32">
        <v>4</v>
      </c>
      <c r="J32">
        <v>5</v>
      </c>
      <c r="K32">
        <v>2</v>
      </c>
      <c r="L32">
        <v>3</v>
      </c>
      <c r="M32">
        <v>8</v>
      </c>
      <c r="N32" t="s">
        <v>24</v>
      </c>
      <c r="O32" t="s">
        <v>34</v>
      </c>
      <c r="P32" t="s">
        <v>51</v>
      </c>
      <c r="Q32">
        <v>1000000</v>
      </c>
      <c r="R32" t="s">
        <v>97</v>
      </c>
      <c r="S32" t="str">
        <f>LOWER(TRIM(CLEAN(tbl_survey_clean[[#This Row],[Komentar]])))</f>
        <v>pengiriman cepat dan packaging aman</v>
      </c>
      <c r="T32">
        <f>LEN(tbl_survey_clean[[#This Row],[Komentar_Clean]])</f>
        <v>35</v>
      </c>
      <c r="U32" t="str">
        <f t="shared" si="0"/>
        <v>Pengiriman</v>
      </c>
      <c r="V32" t="str">
        <f t="shared" si="1"/>
        <v>Positif</v>
      </c>
      <c r="W32" s="6">
        <v>46094</v>
      </c>
      <c r="X32" t="s">
        <v>365</v>
      </c>
    </row>
    <row r="33" spans="1:24" hidden="1" x14ac:dyDescent="0.3">
      <c r="A33" t="s">
        <v>141</v>
      </c>
      <c r="B33" t="s">
        <v>19</v>
      </c>
      <c r="C33">
        <v>17</v>
      </c>
      <c r="D33" t="s">
        <v>90</v>
      </c>
      <c r="E33" t="s">
        <v>142</v>
      </c>
      <c r="F33" t="s">
        <v>96</v>
      </c>
      <c r="G33" t="s">
        <v>41</v>
      </c>
      <c r="H33">
        <v>34</v>
      </c>
      <c r="I33">
        <v>5</v>
      </c>
      <c r="J33">
        <v>2</v>
      </c>
      <c r="K33">
        <v>5</v>
      </c>
      <c r="L33">
        <v>4</v>
      </c>
      <c r="M33">
        <v>8</v>
      </c>
      <c r="N33" t="s">
        <v>24</v>
      </c>
      <c r="O33" t="s">
        <v>50</v>
      </c>
      <c r="P33" t="s">
        <v>108</v>
      </c>
      <c r="Q33">
        <v>2000000</v>
      </c>
      <c r="R33" t="s">
        <v>143</v>
      </c>
      <c r="S33" t="str">
        <f>LOWER(TRIM(CLEAN(tbl_survey_clean[[#This Row],[Komentar]])))</f>
        <v>akan rekomendasikan ke teman-teman</v>
      </c>
      <c r="T33">
        <f>LEN(tbl_survey_clean[[#This Row],[Komentar_Clean]])</f>
        <v>34</v>
      </c>
      <c r="U33" t="str">
        <f t="shared" si="0"/>
        <v>Lainnya</v>
      </c>
      <c r="V33" t="str">
        <f t="shared" si="1"/>
        <v>Netral</v>
      </c>
      <c r="W33" s="6">
        <v>46024</v>
      </c>
      <c r="X33" t="s">
        <v>363</v>
      </c>
    </row>
    <row r="34" spans="1:24" x14ac:dyDescent="0.3">
      <c r="A34" t="s">
        <v>144</v>
      </c>
      <c r="B34" t="s">
        <v>145</v>
      </c>
      <c r="C34">
        <v>58</v>
      </c>
      <c r="D34" t="s">
        <v>83</v>
      </c>
      <c r="E34" t="s">
        <v>118</v>
      </c>
      <c r="F34" t="s">
        <v>79</v>
      </c>
      <c r="G34" t="s">
        <v>23</v>
      </c>
      <c r="H34">
        <v>38</v>
      </c>
      <c r="I34">
        <v>4</v>
      </c>
      <c r="J34">
        <v>5</v>
      </c>
      <c r="K34">
        <v>1</v>
      </c>
      <c r="L34">
        <v>3</v>
      </c>
      <c r="M34">
        <v>0</v>
      </c>
      <c r="N34" t="s">
        <v>33</v>
      </c>
      <c r="O34" t="s">
        <v>50</v>
      </c>
      <c r="P34" t="s">
        <v>44</v>
      </c>
      <c r="Q34">
        <v>500000</v>
      </c>
      <c r="R34" t="s">
        <v>36</v>
      </c>
      <c r="S34" t="str">
        <f>LOWER(TRIM(CLEAN(tbl_survey_clean[[#This Row],[Komentar]])))</f>
        <v>harga naik tapi kualitas sama saja</v>
      </c>
      <c r="T34">
        <f>LEN(tbl_survey_clean[[#This Row],[Komentar_Clean]])</f>
        <v>34</v>
      </c>
      <c r="U34" t="str">
        <f t="shared" ref="U34:U65" si="2">IF(ISNUMBER(SEARCH("harga",S34)),"Harga",IF(ISNUMBER(SEARCH("pengiriman",S34)),"Pengiriman",IF(ISNUMBER(SEARCH("pelayanan",S34)),"Pelayanan",IF(ISNUMBER(SEARCH("produk",S34)),"Produk","Lainnya"))))</f>
        <v>Harga</v>
      </c>
      <c r="V34" t="str">
        <f t="shared" ref="V34:V65" si="3">IF(OR(ISNUMBER(SEARCH("puas",S34)),ISNUMBER(SEARCH("bagus",S34)),ISNUMBER(SEARCH("cepat",S34)),ISNUMBER(SEARCH("aman",S34))),"Positif",IF(OR(ISNUMBER(SEARCH("mahal",S34)),ISNUMBER(SEARCH("lama",S34)),ISNUMBER(SEARCH("buruk",S34)),ISNUMBER(SEARCH("susah",S34)),ISNUMBER(SEARCH("ribet",S34)),ISNUMBER(SEARCH("perbaikan",S34))),"Negatif","Netral"))</f>
        <v>Netral</v>
      </c>
      <c r="W34" s="6">
        <v>46063</v>
      </c>
      <c r="X34" t="s">
        <v>364</v>
      </c>
    </row>
    <row r="35" spans="1:24" hidden="1" x14ac:dyDescent="0.3">
      <c r="A35" t="s">
        <v>146</v>
      </c>
      <c r="B35" t="s">
        <v>147</v>
      </c>
      <c r="C35">
        <v>41</v>
      </c>
      <c r="D35" t="s">
        <v>20</v>
      </c>
      <c r="E35" t="s">
        <v>142</v>
      </c>
      <c r="F35" t="s">
        <v>96</v>
      </c>
      <c r="G35" t="s">
        <v>23</v>
      </c>
      <c r="H35">
        <v>9</v>
      </c>
      <c r="I35">
        <v>1</v>
      </c>
      <c r="J35">
        <v>5</v>
      </c>
      <c r="K35">
        <v>2</v>
      </c>
      <c r="L35">
        <v>2</v>
      </c>
      <c r="M35">
        <v>0</v>
      </c>
      <c r="N35" t="s">
        <v>33</v>
      </c>
      <c r="O35" t="s">
        <v>50</v>
      </c>
      <c r="P35" t="s">
        <v>108</v>
      </c>
      <c r="Q35">
        <v>500000</v>
      </c>
      <c r="R35" t="s">
        <v>57</v>
      </c>
      <c r="S35" t="str">
        <f>LOWER(TRIM(CLEAN(tbl_survey_clean[[#This Row],[Komentar]])))</f>
        <v>pengiriman agak lama dari estimasi</v>
      </c>
      <c r="T35">
        <f>LEN(tbl_survey_clean[[#This Row],[Komentar_Clean]])</f>
        <v>34</v>
      </c>
      <c r="U35" t="str">
        <f t="shared" si="2"/>
        <v>Pengiriman</v>
      </c>
      <c r="V35" t="str">
        <f t="shared" si="3"/>
        <v>Negatif</v>
      </c>
      <c r="W35" s="6">
        <v>46201</v>
      </c>
      <c r="X35" t="s">
        <v>368</v>
      </c>
    </row>
    <row r="36" spans="1:24" hidden="1" x14ac:dyDescent="0.3">
      <c r="A36" t="s">
        <v>148</v>
      </c>
      <c r="B36" t="s">
        <v>149</v>
      </c>
      <c r="C36">
        <v>41</v>
      </c>
      <c r="D36" t="s">
        <v>20</v>
      </c>
      <c r="E36" t="s">
        <v>95</v>
      </c>
      <c r="F36" t="s">
        <v>96</v>
      </c>
      <c r="G36" t="s">
        <v>23</v>
      </c>
      <c r="H36">
        <v>24</v>
      </c>
      <c r="I36">
        <v>1</v>
      </c>
      <c r="J36">
        <v>3</v>
      </c>
      <c r="K36">
        <v>1</v>
      </c>
      <c r="L36">
        <v>5</v>
      </c>
      <c r="M36">
        <v>0</v>
      </c>
      <c r="N36" t="s">
        <v>33</v>
      </c>
      <c r="O36" t="s">
        <v>25</v>
      </c>
      <c r="P36" t="s">
        <v>26</v>
      </c>
      <c r="Q36">
        <v>100000</v>
      </c>
      <c r="R36" t="s">
        <v>87</v>
      </c>
      <c r="S36" t="str">
        <f>LOWER(TRIM(CLEAN(tbl_survey_clean[[#This Row],[Komentar]])))</f>
        <v>perlu peningkatan pada packaging</v>
      </c>
      <c r="T36">
        <f>LEN(tbl_survey_clean[[#This Row],[Komentar_Clean]])</f>
        <v>32</v>
      </c>
      <c r="U36" t="str">
        <f t="shared" si="2"/>
        <v>Lainnya</v>
      </c>
      <c r="V36" t="str">
        <f t="shared" si="3"/>
        <v>Netral</v>
      </c>
      <c r="W36" s="6">
        <v>46131</v>
      </c>
      <c r="X36" t="s">
        <v>366</v>
      </c>
    </row>
    <row r="37" spans="1:24" hidden="1" x14ac:dyDescent="0.3">
      <c r="A37" t="s">
        <v>150</v>
      </c>
      <c r="B37" t="s">
        <v>151</v>
      </c>
      <c r="C37">
        <v>24</v>
      </c>
      <c r="D37" t="s">
        <v>90</v>
      </c>
      <c r="E37" t="s">
        <v>152</v>
      </c>
      <c r="F37" t="s">
        <v>65</v>
      </c>
      <c r="G37" t="s">
        <v>23</v>
      </c>
      <c r="H37">
        <v>48</v>
      </c>
      <c r="I37">
        <v>4</v>
      </c>
      <c r="J37">
        <v>4</v>
      </c>
      <c r="K37">
        <v>4</v>
      </c>
      <c r="L37">
        <v>3</v>
      </c>
      <c r="M37">
        <v>1</v>
      </c>
      <c r="N37" t="s">
        <v>33</v>
      </c>
      <c r="O37" t="s">
        <v>50</v>
      </c>
      <c r="P37" t="s">
        <v>108</v>
      </c>
      <c r="Q37">
        <v>100000</v>
      </c>
      <c r="R37" t="s">
        <v>80</v>
      </c>
      <c r="S37" t="str">
        <f>LOWER(TRIM(CLEAN(tbl_survey_clean[[#This Row],[Komentar]])))</f>
        <v>proses return barang terlalu ribet</v>
      </c>
      <c r="T37">
        <f>LEN(tbl_survey_clean[[#This Row],[Komentar_Clean]])</f>
        <v>34</v>
      </c>
      <c r="U37" t="str">
        <f t="shared" si="2"/>
        <v>Lainnya</v>
      </c>
      <c r="V37" t="str">
        <f t="shared" si="3"/>
        <v>Negatif</v>
      </c>
      <c r="W37" s="6">
        <v>46110</v>
      </c>
      <c r="X37" t="s">
        <v>365</v>
      </c>
    </row>
    <row r="38" spans="1:24" hidden="1" x14ac:dyDescent="0.3">
      <c r="A38" t="s">
        <v>153</v>
      </c>
      <c r="B38" t="s">
        <v>29</v>
      </c>
      <c r="C38">
        <v>23</v>
      </c>
      <c r="D38" t="s">
        <v>90</v>
      </c>
      <c r="E38" t="s">
        <v>21</v>
      </c>
      <c r="F38" t="s">
        <v>22</v>
      </c>
      <c r="G38" t="s">
        <v>41</v>
      </c>
      <c r="H38">
        <v>46</v>
      </c>
      <c r="I38">
        <v>5</v>
      </c>
      <c r="J38">
        <v>5</v>
      </c>
      <c r="K38">
        <v>2</v>
      </c>
      <c r="L38">
        <v>3</v>
      </c>
      <c r="M38">
        <v>1</v>
      </c>
      <c r="N38" t="s">
        <v>33</v>
      </c>
      <c r="O38" t="s">
        <v>50</v>
      </c>
      <c r="P38" t="s">
        <v>26</v>
      </c>
      <c r="Q38">
        <v>1000000</v>
      </c>
      <c r="R38" t="s">
        <v>87</v>
      </c>
      <c r="S38" t="str">
        <f>LOWER(TRIM(CLEAN(tbl_survey_clean[[#This Row],[Komentar]])))</f>
        <v>perlu peningkatan pada packaging</v>
      </c>
      <c r="T38">
        <f>LEN(tbl_survey_clean[[#This Row],[Komentar_Clean]])</f>
        <v>32</v>
      </c>
      <c r="U38" t="str">
        <f t="shared" si="2"/>
        <v>Lainnya</v>
      </c>
      <c r="V38" t="str">
        <f t="shared" si="3"/>
        <v>Netral</v>
      </c>
      <c r="W38" s="6">
        <v>46094</v>
      </c>
      <c r="X38" t="s">
        <v>365</v>
      </c>
    </row>
    <row r="39" spans="1:24" x14ac:dyDescent="0.3">
      <c r="A39" t="s">
        <v>154</v>
      </c>
      <c r="B39" t="s">
        <v>136</v>
      </c>
      <c r="C39">
        <v>26</v>
      </c>
      <c r="D39" t="s">
        <v>54</v>
      </c>
      <c r="E39" t="s">
        <v>21</v>
      </c>
      <c r="F39" t="s">
        <v>22</v>
      </c>
      <c r="G39" t="s">
        <v>23</v>
      </c>
      <c r="H39">
        <v>29</v>
      </c>
      <c r="I39">
        <v>5</v>
      </c>
      <c r="J39">
        <v>4</v>
      </c>
      <c r="K39">
        <v>3</v>
      </c>
      <c r="L39">
        <v>5</v>
      </c>
      <c r="M39">
        <v>9</v>
      </c>
      <c r="N39" t="s">
        <v>42</v>
      </c>
      <c r="O39" t="s">
        <v>69</v>
      </c>
      <c r="P39" t="s">
        <v>26</v>
      </c>
      <c r="Q39">
        <v>50000</v>
      </c>
      <c r="R39" t="s">
        <v>62</v>
      </c>
      <c r="S39" t="str">
        <f>LOWER(TRIM(CLEAN(tbl_survey_clean[[#This Row],[Komentar]])))</f>
        <v>produk sangat berkualitas, saya puas!</v>
      </c>
      <c r="T39">
        <f>LEN(tbl_survey_clean[[#This Row],[Komentar_Clean]])</f>
        <v>37</v>
      </c>
      <c r="U39" t="str">
        <f t="shared" si="2"/>
        <v>Produk</v>
      </c>
      <c r="V39" t="str">
        <f t="shared" si="3"/>
        <v>Positif</v>
      </c>
      <c r="W39" s="6">
        <v>46062</v>
      </c>
      <c r="X39" t="s">
        <v>364</v>
      </c>
    </row>
    <row r="40" spans="1:24" x14ac:dyDescent="0.3">
      <c r="A40" t="s">
        <v>155</v>
      </c>
      <c r="B40" t="s">
        <v>82</v>
      </c>
      <c r="C40">
        <v>23</v>
      </c>
      <c r="D40" t="s">
        <v>90</v>
      </c>
      <c r="E40" t="s">
        <v>156</v>
      </c>
      <c r="F40" t="s">
        <v>56</v>
      </c>
      <c r="G40" t="s">
        <v>41</v>
      </c>
      <c r="H40">
        <v>21</v>
      </c>
      <c r="I40">
        <v>5</v>
      </c>
      <c r="J40">
        <v>3</v>
      </c>
      <c r="K40">
        <v>3</v>
      </c>
      <c r="L40">
        <v>3</v>
      </c>
      <c r="M40">
        <v>7</v>
      </c>
      <c r="N40" t="s">
        <v>24</v>
      </c>
      <c r="O40" t="s">
        <v>43</v>
      </c>
      <c r="P40" t="s">
        <v>108</v>
      </c>
      <c r="Q40">
        <v>500000</v>
      </c>
      <c r="R40" t="s">
        <v>84</v>
      </c>
      <c r="S40" t="str">
        <f>LOWER(TRIM(CLEAN(tbl_survey_clean[[#This Row],[Komentar]])))</f>
        <v>standar saja, tidak ada yang istimewa</v>
      </c>
      <c r="T40">
        <f>LEN(tbl_survey_clean[[#This Row],[Komentar_Clean]])</f>
        <v>37</v>
      </c>
      <c r="U40" t="str">
        <f t="shared" si="2"/>
        <v>Lainnya</v>
      </c>
      <c r="V40" t="str">
        <f t="shared" si="3"/>
        <v>Netral</v>
      </c>
      <c r="W40" s="6">
        <v>46078</v>
      </c>
      <c r="X40" t="s">
        <v>364</v>
      </c>
    </row>
    <row r="41" spans="1:24" hidden="1" x14ac:dyDescent="0.3">
      <c r="A41" t="s">
        <v>157</v>
      </c>
      <c r="B41" t="s">
        <v>94</v>
      </c>
      <c r="C41">
        <v>40</v>
      </c>
      <c r="D41" t="s">
        <v>20</v>
      </c>
      <c r="E41" t="s">
        <v>21</v>
      </c>
      <c r="F41" t="s">
        <v>22</v>
      </c>
      <c r="G41" t="s">
        <v>23</v>
      </c>
      <c r="H41">
        <v>41</v>
      </c>
      <c r="I41">
        <v>4</v>
      </c>
      <c r="J41">
        <v>1</v>
      </c>
      <c r="K41">
        <v>5</v>
      </c>
      <c r="L41">
        <v>1</v>
      </c>
      <c r="M41">
        <v>0</v>
      </c>
      <c r="N41" t="s">
        <v>33</v>
      </c>
      <c r="O41" t="s">
        <v>50</v>
      </c>
      <c r="P41" t="s">
        <v>26</v>
      </c>
      <c r="Q41">
        <v>500000</v>
      </c>
      <c r="R41" t="s">
        <v>57</v>
      </c>
      <c r="S41" t="str">
        <f>LOWER(TRIM(CLEAN(tbl_survey_clean[[#This Row],[Komentar]])))</f>
        <v>pengiriman agak lama dari estimasi</v>
      </c>
      <c r="T41">
        <f>LEN(tbl_survey_clean[[#This Row],[Komentar_Clean]])</f>
        <v>34</v>
      </c>
      <c r="U41" t="str">
        <f t="shared" si="2"/>
        <v>Pengiriman</v>
      </c>
      <c r="V41" t="str">
        <f t="shared" si="3"/>
        <v>Negatif</v>
      </c>
      <c r="W41" s="6">
        <v>46109</v>
      </c>
      <c r="X41" t="s">
        <v>365</v>
      </c>
    </row>
    <row r="42" spans="1:24" hidden="1" x14ac:dyDescent="0.3">
      <c r="A42" t="s">
        <v>158</v>
      </c>
      <c r="B42" t="s">
        <v>159</v>
      </c>
      <c r="C42">
        <v>27</v>
      </c>
      <c r="D42" t="s">
        <v>54</v>
      </c>
      <c r="E42" t="s">
        <v>160</v>
      </c>
      <c r="F42" t="s">
        <v>373</v>
      </c>
      <c r="G42" t="s">
        <v>23</v>
      </c>
      <c r="H42">
        <v>11</v>
      </c>
      <c r="I42">
        <v>2</v>
      </c>
      <c r="J42">
        <v>2</v>
      </c>
      <c r="K42">
        <v>3</v>
      </c>
      <c r="L42">
        <v>4</v>
      </c>
      <c r="M42">
        <v>2</v>
      </c>
      <c r="N42" t="s">
        <v>33</v>
      </c>
      <c r="O42" t="s">
        <v>69</v>
      </c>
      <c r="P42" t="s">
        <v>26</v>
      </c>
      <c r="Q42">
        <v>1000000</v>
      </c>
      <c r="R42" t="s">
        <v>87</v>
      </c>
      <c r="S42" t="str">
        <f>LOWER(TRIM(CLEAN(tbl_survey_clean[[#This Row],[Komentar]])))</f>
        <v>perlu peningkatan pada packaging</v>
      </c>
      <c r="T42">
        <f>LEN(tbl_survey_clean[[#This Row],[Komentar_Clean]])</f>
        <v>32</v>
      </c>
      <c r="U42" t="str">
        <f t="shared" si="2"/>
        <v>Lainnya</v>
      </c>
      <c r="V42" t="str">
        <f t="shared" si="3"/>
        <v>Netral</v>
      </c>
      <c r="W42" s="6">
        <v>46049</v>
      </c>
      <c r="X42" t="s">
        <v>363</v>
      </c>
    </row>
    <row r="43" spans="1:24" hidden="1" x14ac:dyDescent="0.3">
      <c r="A43" t="s">
        <v>162</v>
      </c>
      <c r="B43" t="s">
        <v>47</v>
      </c>
      <c r="C43">
        <v>22</v>
      </c>
      <c r="D43" t="s">
        <v>90</v>
      </c>
      <c r="E43" t="s">
        <v>163</v>
      </c>
      <c r="F43" t="s">
        <v>373</v>
      </c>
      <c r="G43" t="s">
        <v>41</v>
      </c>
      <c r="H43">
        <v>17</v>
      </c>
      <c r="I43">
        <v>4</v>
      </c>
      <c r="J43">
        <v>5</v>
      </c>
      <c r="K43">
        <v>5</v>
      </c>
      <c r="L43">
        <v>2</v>
      </c>
      <c r="M43">
        <v>2</v>
      </c>
      <c r="N43" t="s">
        <v>33</v>
      </c>
      <c r="O43" t="s">
        <v>43</v>
      </c>
      <c r="P43" t="s">
        <v>35</v>
      </c>
      <c r="Q43">
        <v>2000000</v>
      </c>
      <c r="R43" t="s">
        <v>80</v>
      </c>
      <c r="S43" t="str">
        <f>LOWER(TRIM(CLEAN(tbl_survey_clean[[#This Row],[Komentar]])))</f>
        <v>proses return barang terlalu ribet</v>
      </c>
      <c r="T43">
        <f>LEN(tbl_survey_clean[[#This Row],[Komentar_Clean]])</f>
        <v>34</v>
      </c>
      <c r="U43" t="str">
        <f t="shared" si="2"/>
        <v>Lainnya</v>
      </c>
      <c r="V43" t="str">
        <f t="shared" si="3"/>
        <v>Negatif</v>
      </c>
      <c r="W43" s="6">
        <v>46046</v>
      </c>
      <c r="X43" t="s">
        <v>363</v>
      </c>
    </row>
    <row r="44" spans="1:24" hidden="1" x14ac:dyDescent="0.3">
      <c r="A44" t="s">
        <v>164</v>
      </c>
      <c r="B44" t="s">
        <v>165</v>
      </c>
      <c r="C44">
        <v>41</v>
      </c>
      <c r="D44" t="s">
        <v>20</v>
      </c>
      <c r="E44" t="s">
        <v>166</v>
      </c>
      <c r="F44" t="s">
        <v>125</v>
      </c>
      <c r="G44" t="s">
        <v>41</v>
      </c>
      <c r="H44">
        <v>23</v>
      </c>
      <c r="I44">
        <v>5</v>
      </c>
      <c r="J44">
        <v>3</v>
      </c>
      <c r="K44">
        <v>1</v>
      </c>
      <c r="L44">
        <v>4</v>
      </c>
      <c r="M44">
        <v>1</v>
      </c>
      <c r="N44" t="s">
        <v>33</v>
      </c>
      <c r="O44" t="s">
        <v>43</v>
      </c>
      <c r="P44" t="s">
        <v>44</v>
      </c>
      <c r="Q44">
        <v>1000000</v>
      </c>
      <c r="R44" t="s">
        <v>57</v>
      </c>
      <c r="S44" t="str">
        <f>LOWER(TRIM(CLEAN(tbl_survey_clean[[#This Row],[Komentar]])))</f>
        <v>pengiriman agak lama dari estimasi</v>
      </c>
      <c r="T44">
        <f>LEN(tbl_survey_clean[[#This Row],[Komentar_Clean]])</f>
        <v>34</v>
      </c>
      <c r="U44" t="str">
        <f t="shared" si="2"/>
        <v>Pengiriman</v>
      </c>
      <c r="V44" t="str">
        <f t="shared" si="3"/>
        <v>Negatif</v>
      </c>
      <c r="W44" s="6">
        <v>46120</v>
      </c>
      <c r="X44" t="s">
        <v>366</v>
      </c>
    </row>
    <row r="45" spans="1:24" hidden="1" x14ac:dyDescent="0.3">
      <c r="A45" t="s">
        <v>167</v>
      </c>
      <c r="B45" t="s">
        <v>99</v>
      </c>
      <c r="C45">
        <v>17</v>
      </c>
      <c r="D45" t="s">
        <v>90</v>
      </c>
      <c r="E45" t="s">
        <v>142</v>
      </c>
      <c r="F45" t="s">
        <v>96</v>
      </c>
      <c r="G45" t="s">
        <v>41</v>
      </c>
      <c r="H45">
        <v>21</v>
      </c>
      <c r="I45">
        <v>5</v>
      </c>
      <c r="J45">
        <v>2</v>
      </c>
      <c r="K45">
        <v>4</v>
      </c>
      <c r="L45">
        <v>1</v>
      </c>
      <c r="M45">
        <v>10</v>
      </c>
      <c r="N45" t="s">
        <v>42</v>
      </c>
      <c r="O45" t="s">
        <v>69</v>
      </c>
      <c r="P45" t="s">
        <v>44</v>
      </c>
      <c r="Q45">
        <v>100000</v>
      </c>
      <c r="R45" t="s">
        <v>62</v>
      </c>
      <c r="S45" t="str">
        <f>LOWER(TRIM(CLEAN(tbl_survey_clean[[#This Row],[Komentar]])))</f>
        <v>produk sangat berkualitas, saya puas!</v>
      </c>
      <c r="T45">
        <f>LEN(tbl_survey_clean[[#This Row],[Komentar_Clean]])</f>
        <v>37</v>
      </c>
      <c r="U45" t="str">
        <f t="shared" si="2"/>
        <v>Produk</v>
      </c>
      <c r="V45" t="str">
        <f t="shared" si="3"/>
        <v>Positif</v>
      </c>
      <c r="W45" s="6">
        <v>46047</v>
      </c>
      <c r="X45" t="s">
        <v>363</v>
      </c>
    </row>
    <row r="46" spans="1:24" hidden="1" x14ac:dyDescent="0.3">
      <c r="A46" t="s">
        <v>168</v>
      </c>
      <c r="B46" t="s">
        <v>149</v>
      </c>
      <c r="C46">
        <v>31</v>
      </c>
      <c r="D46" t="s">
        <v>54</v>
      </c>
      <c r="E46" t="s">
        <v>169</v>
      </c>
      <c r="F46" t="s">
        <v>49</v>
      </c>
      <c r="G46" t="s">
        <v>23</v>
      </c>
      <c r="H46">
        <v>3</v>
      </c>
      <c r="I46">
        <v>4</v>
      </c>
      <c r="J46">
        <v>1</v>
      </c>
      <c r="K46">
        <v>5</v>
      </c>
      <c r="L46">
        <v>2</v>
      </c>
      <c r="M46">
        <v>3</v>
      </c>
      <c r="N46" t="s">
        <v>33</v>
      </c>
      <c r="O46" t="s">
        <v>107</v>
      </c>
      <c r="P46" t="s">
        <v>26</v>
      </c>
      <c r="Q46">
        <v>500000</v>
      </c>
      <c r="R46" t="s">
        <v>57</v>
      </c>
      <c r="S46" t="str">
        <f>LOWER(TRIM(CLEAN(tbl_survey_clean[[#This Row],[Komentar]])))</f>
        <v>pengiriman agak lama dari estimasi</v>
      </c>
      <c r="T46">
        <f>LEN(tbl_survey_clean[[#This Row],[Komentar_Clean]])</f>
        <v>34</v>
      </c>
      <c r="U46" t="str">
        <f t="shared" si="2"/>
        <v>Pengiriman</v>
      </c>
      <c r="V46" t="str">
        <f t="shared" si="3"/>
        <v>Negatif</v>
      </c>
      <c r="W46" s="6">
        <v>46114</v>
      </c>
      <c r="X46" t="s">
        <v>366</v>
      </c>
    </row>
    <row r="47" spans="1:24" hidden="1" x14ac:dyDescent="0.3">
      <c r="A47" t="s">
        <v>170</v>
      </c>
      <c r="B47" t="s">
        <v>136</v>
      </c>
      <c r="C47">
        <v>17</v>
      </c>
      <c r="D47" t="s">
        <v>90</v>
      </c>
      <c r="E47" t="s">
        <v>171</v>
      </c>
      <c r="F47" t="s">
        <v>79</v>
      </c>
      <c r="G47" t="s">
        <v>23</v>
      </c>
      <c r="H47">
        <v>20</v>
      </c>
      <c r="I47">
        <v>4</v>
      </c>
      <c r="J47">
        <v>3</v>
      </c>
      <c r="K47">
        <v>1</v>
      </c>
      <c r="L47">
        <v>5</v>
      </c>
      <c r="M47">
        <v>9</v>
      </c>
      <c r="N47" t="s">
        <v>42</v>
      </c>
      <c r="O47" t="s">
        <v>69</v>
      </c>
      <c r="P47" t="s">
        <v>26</v>
      </c>
      <c r="Q47">
        <v>1000000</v>
      </c>
      <c r="R47" t="s">
        <v>126</v>
      </c>
      <c r="S47" t="str">
        <f>LOWER(TRIM(CLEAN(tbl_survey_clean[[#This Row],[Komentar]])))</f>
        <v>sudah berlangganan 2 tahun, selalu puas</v>
      </c>
      <c r="T47">
        <f>LEN(tbl_survey_clean[[#This Row],[Komentar_Clean]])</f>
        <v>39</v>
      </c>
      <c r="U47" t="str">
        <f t="shared" si="2"/>
        <v>Lainnya</v>
      </c>
      <c r="V47" t="str">
        <f t="shared" si="3"/>
        <v>Positif</v>
      </c>
      <c r="W47" s="6">
        <v>46111</v>
      </c>
      <c r="X47" t="s">
        <v>365</v>
      </c>
    </row>
    <row r="48" spans="1:24" hidden="1" x14ac:dyDescent="0.3">
      <c r="A48" t="s">
        <v>172</v>
      </c>
      <c r="B48" t="s">
        <v>173</v>
      </c>
      <c r="C48">
        <v>26</v>
      </c>
      <c r="D48" t="s">
        <v>54</v>
      </c>
      <c r="E48" t="s">
        <v>174</v>
      </c>
      <c r="F48" t="s">
        <v>32</v>
      </c>
      <c r="G48" t="s">
        <v>23</v>
      </c>
      <c r="H48">
        <v>37</v>
      </c>
      <c r="I48">
        <v>5</v>
      </c>
      <c r="J48">
        <v>5</v>
      </c>
      <c r="K48">
        <v>4</v>
      </c>
      <c r="L48">
        <v>4</v>
      </c>
      <c r="M48">
        <v>9</v>
      </c>
      <c r="N48" t="s">
        <v>42</v>
      </c>
      <c r="O48" t="s">
        <v>34</v>
      </c>
      <c r="P48" t="s">
        <v>108</v>
      </c>
      <c r="Q48">
        <v>100000</v>
      </c>
      <c r="R48" t="s">
        <v>143</v>
      </c>
      <c r="S48" t="str">
        <f>LOWER(TRIM(CLEAN(tbl_survey_clean[[#This Row],[Komentar]])))</f>
        <v>akan rekomendasikan ke teman-teman</v>
      </c>
      <c r="T48">
        <f>LEN(tbl_survey_clean[[#This Row],[Komentar_Clean]])</f>
        <v>34</v>
      </c>
      <c r="U48" t="str">
        <f t="shared" si="2"/>
        <v>Lainnya</v>
      </c>
      <c r="V48" t="str">
        <f t="shared" si="3"/>
        <v>Netral</v>
      </c>
      <c r="W48" s="6">
        <v>46177</v>
      </c>
      <c r="X48" t="s">
        <v>368</v>
      </c>
    </row>
    <row r="49" spans="1:24" hidden="1" x14ac:dyDescent="0.3">
      <c r="A49" t="s">
        <v>175</v>
      </c>
      <c r="B49" t="s">
        <v>176</v>
      </c>
      <c r="C49">
        <v>47</v>
      </c>
      <c r="D49" t="s">
        <v>30</v>
      </c>
      <c r="E49" t="s">
        <v>55</v>
      </c>
      <c r="F49" t="s">
        <v>56</v>
      </c>
      <c r="G49" t="s">
        <v>41</v>
      </c>
      <c r="H49">
        <v>31</v>
      </c>
      <c r="I49">
        <v>1</v>
      </c>
      <c r="J49">
        <v>4</v>
      </c>
      <c r="K49">
        <v>1</v>
      </c>
      <c r="L49">
        <v>5</v>
      </c>
      <c r="M49">
        <v>8</v>
      </c>
      <c r="N49" t="s">
        <v>24</v>
      </c>
      <c r="O49" t="s">
        <v>34</v>
      </c>
      <c r="P49" t="s">
        <v>44</v>
      </c>
      <c r="Q49">
        <v>100000</v>
      </c>
      <c r="R49" t="s">
        <v>97</v>
      </c>
      <c r="S49" t="str">
        <f>LOWER(TRIM(CLEAN(tbl_survey_clean[[#This Row],[Komentar]])))</f>
        <v>pengiriman cepat dan packaging aman</v>
      </c>
      <c r="T49">
        <f>LEN(tbl_survey_clean[[#This Row],[Komentar_Clean]])</f>
        <v>35</v>
      </c>
      <c r="U49" t="str">
        <f t="shared" si="2"/>
        <v>Pengiriman</v>
      </c>
      <c r="V49" t="str">
        <f t="shared" si="3"/>
        <v>Positif</v>
      </c>
      <c r="W49" s="6">
        <v>46090</v>
      </c>
      <c r="X49" t="s">
        <v>365</v>
      </c>
    </row>
    <row r="50" spans="1:24" hidden="1" x14ac:dyDescent="0.3">
      <c r="A50" t="s">
        <v>177</v>
      </c>
      <c r="B50" t="s">
        <v>86</v>
      </c>
      <c r="C50">
        <v>38</v>
      </c>
      <c r="D50" t="s">
        <v>20</v>
      </c>
      <c r="E50" t="s">
        <v>160</v>
      </c>
      <c r="F50" t="s">
        <v>373</v>
      </c>
      <c r="G50" t="s">
        <v>41</v>
      </c>
      <c r="H50">
        <v>26</v>
      </c>
      <c r="I50">
        <v>1</v>
      </c>
      <c r="J50">
        <v>2</v>
      </c>
      <c r="K50">
        <v>3</v>
      </c>
      <c r="L50">
        <v>5</v>
      </c>
      <c r="M50">
        <v>10</v>
      </c>
      <c r="N50" t="s">
        <v>42</v>
      </c>
      <c r="O50" t="s">
        <v>43</v>
      </c>
      <c r="P50" t="s">
        <v>51</v>
      </c>
      <c r="Q50">
        <v>100000</v>
      </c>
      <c r="R50" t="s">
        <v>143</v>
      </c>
      <c r="S50" t="str">
        <f>LOWER(TRIM(CLEAN(tbl_survey_clean[[#This Row],[Komentar]])))</f>
        <v>akan rekomendasikan ke teman-teman</v>
      </c>
      <c r="T50">
        <f>LEN(tbl_survey_clean[[#This Row],[Komentar_Clean]])</f>
        <v>34</v>
      </c>
      <c r="U50" t="str">
        <f t="shared" si="2"/>
        <v>Lainnya</v>
      </c>
      <c r="V50" t="str">
        <f t="shared" si="3"/>
        <v>Netral</v>
      </c>
      <c r="W50" s="6">
        <v>46034</v>
      </c>
      <c r="X50" t="s">
        <v>363</v>
      </c>
    </row>
    <row r="51" spans="1:24" hidden="1" x14ac:dyDescent="0.3">
      <c r="A51" t="s">
        <v>178</v>
      </c>
      <c r="B51" t="s">
        <v>179</v>
      </c>
      <c r="C51">
        <v>63</v>
      </c>
      <c r="D51" t="s">
        <v>83</v>
      </c>
      <c r="E51" t="s">
        <v>156</v>
      </c>
      <c r="F51" t="s">
        <v>56</v>
      </c>
      <c r="G51" t="s">
        <v>41</v>
      </c>
      <c r="H51">
        <v>10</v>
      </c>
      <c r="I51">
        <v>3</v>
      </c>
      <c r="J51">
        <v>4</v>
      </c>
      <c r="K51">
        <v>3</v>
      </c>
      <c r="L51">
        <v>5</v>
      </c>
      <c r="M51">
        <v>3</v>
      </c>
      <c r="N51" t="s">
        <v>33</v>
      </c>
      <c r="O51" t="s">
        <v>50</v>
      </c>
      <c r="P51" t="s">
        <v>26</v>
      </c>
      <c r="Q51">
        <v>500000</v>
      </c>
      <c r="R51" t="s">
        <v>36</v>
      </c>
      <c r="S51" t="str">
        <f>LOWER(TRIM(CLEAN(tbl_survey_clean[[#This Row],[Komentar]])))</f>
        <v>harga naik tapi kualitas sama saja</v>
      </c>
      <c r="T51">
        <f>LEN(tbl_survey_clean[[#This Row],[Komentar_Clean]])</f>
        <v>34</v>
      </c>
      <c r="U51" t="str">
        <f t="shared" si="2"/>
        <v>Harga</v>
      </c>
      <c r="V51" t="str">
        <f t="shared" si="3"/>
        <v>Netral</v>
      </c>
      <c r="W51" s="6">
        <v>46140</v>
      </c>
      <c r="X51" t="s">
        <v>366</v>
      </c>
    </row>
    <row r="52" spans="1:24" hidden="1" x14ac:dyDescent="0.3">
      <c r="A52" t="s">
        <v>180</v>
      </c>
      <c r="B52" t="s">
        <v>176</v>
      </c>
      <c r="C52">
        <v>19</v>
      </c>
      <c r="D52" t="s">
        <v>90</v>
      </c>
      <c r="E52" t="s">
        <v>152</v>
      </c>
      <c r="F52" t="s">
        <v>65</v>
      </c>
      <c r="G52" t="s">
        <v>41</v>
      </c>
      <c r="H52">
        <v>46</v>
      </c>
      <c r="I52">
        <v>4</v>
      </c>
      <c r="J52">
        <v>4</v>
      </c>
      <c r="K52">
        <v>2</v>
      </c>
      <c r="L52">
        <v>5</v>
      </c>
      <c r="M52">
        <v>8</v>
      </c>
      <c r="N52" t="s">
        <v>24</v>
      </c>
      <c r="O52" t="s">
        <v>107</v>
      </c>
      <c r="P52" t="s">
        <v>26</v>
      </c>
      <c r="Q52">
        <v>250000</v>
      </c>
      <c r="R52" t="s">
        <v>97</v>
      </c>
      <c r="S52" t="str">
        <f>LOWER(TRIM(CLEAN(tbl_survey_clean[[#This Row],[Komentar]])))</f>
        <v>pengiriman cepat dan packaging aman</v>
      </c>
      <c r="T52">
        <f>LEN(tbl_survey_clean[[#This Row],[Komentar_Clean]])</f>
        <v>35</v>
      </c>
      <c r="U52" t="str">
        <f t="shared" si="2"/>
        <v>Pengiriman</v>
      </c>
      <c r="V52" t="str">
        <f t="shared" si="3"/>
        <v>Positif</v>
      </c>
      <c r="W52" s="6">
        <v>46160</v>
      </c>
      <c r="X52" t="s">
        <v>367</v>
      </c>
    </row>
    <row r="53" spans="1:24" x14ac:dyDescent="0.3">
      <c r="A53" t="s">
        <v>181</v>
      </c>
      <c r="B53" t="s">
        <v>110</v>
      </c>
      <c r="C53">
        <v>31</v>
      </c>
      <c r="D53" t="s">
        <v>54</v>
      </c>
      <c r="E53" t="s">
        <v>115</v>
      </c>
      <c r="F53" t="s">
        <v>22</v>
      </c>
      <c r="G53" t="s">
        <v>23</v>
      </c>
      <c r="H53">
        <v>22</v>
      </c>
      <c r="I53">
        <v>4</v>
      </c>
      <c r="J53">
        <v>3</v>
      </c>
      <c r="K53">
        <v>4</v>
      </c>
      <c r="L53">
        <v>2</v>
      </c>
      <c r="M53">
        <v>8</v>
      </c>
      <c r="N53" t="s">
        <v>24</v>
      </c>
      <c r="O53" t="s">
        <v>50</v>
      </c>
      <c r="P53" t="s">
        <v>26</v>
      </c>
      <c r="Q53">
        <v>250000</v>
      </c>
      <c r="R53" t="s">
        <v>62</v>
      </c>
      <c r="S53" t="str">
        <f>LOWER(TRIM(CLEAN(tbl_survey_clean[[#This Row],[Komentar]])))</f>
        <v>produk sangat berkualitas, saya puas!</v>
      </c>
      <c r="T53">
        <f>LEN(tbl_survey_clean[[#This Row],[Komentar_Clean]])</f>
        <v>37</v>
      </c>
      <c r="U53" t="str">
        <f t="shared" si="2"/>
        <v>Produk</v>
      </c>
      <c r="V53" t="str">
        <f t="shared" si="3"/>
        <v>Positif</v>
      </c>
      <c r="W53" s="6">
        <v>46054</v>
      </c>
      <c r="X53" t="s">
        <v>364</v>
      </c>
    </row>
    <row r="54" spans="1:24" hidden="1" x14ac:dyDescent="0.3">
      <c r="A54" t="s">
        <v>182</v>
      </c>
      <c r="B54" t="s">
        <v>183</v>
      </c>
      <c r="C54">
        <v>42</v>
      </c>
      <c r="D54" t="s">
        <v>20</v>
      </c>
      <c r="E54" t="s">
        <v>49</v>
      </c>
      <c r="F54" t="s">
        <v>49</v>
      </c>
      <c r="G54" t="s">
        <v>41</v>
      </c>
      <c r="H54">
        <v>24</v>
      </c>
      <c r="I54">
        <v>3</v>
      </c>
      <c r="J54">
        <v>4</v>
      </c>
      <c r="K54">
        <v>5</v>
      </c>
      <c r="L54">
        <v>3</v>
      </c>
      <c r="M54">
        <v>5</v>
      </c>
      <c r="N54" t="s">
        <v>33</v>
      </c>
      <c r="O54" t="s">
        <v>107</v>
      </c>
      <c r="P54" t="s">
        <v>35</v>
      </c>
      <c r="Q54">
        <v>500000</v>
      </c>
      <c r="R54" t="s">
        <v>57</v>
      </c>
      <c r="S54" t="str">
        <f>LOWER(TRIM(CLEAN(tbl_survey_clean[[#This Row],[Komentar]])))</f>
        <v>pengiriman agak lama dari estimasi</v>
      </c>
      <c r="T54">
        <f>LEN(tbl_survey_clean[[#This Row],[Komentar_Clean]])</f>
        <v>34</v>
      </c>
      <c r="U54" t="str">
        <f t="shared" si="2"/>
        <v>Pengiriman</v>
      </c>
      <c r="V54" t="str">
        <f t="shared" si="3"/>
        <v>Negatif</v>
      </c>
      <c r="W54" s="6">
        <v>46119</v>
      </c>
      <c r="X54" t="s">
        <v>366</v>
      </c>
    </row>
    <row r="55" spans="1:24" hidden="1" x14ac:dyDescent="0.3">
      <c r="A55" t="s">
        <v>184</v>
      </c>
      <c r="B55" t="s">
        <v>147</v>
      </c>
      <c r="C55">
        <v>55</v>
      </c>
      <c r="D55" t="s">
        <v>83</v>
      </c>
      <c r="E55" t="s">
        <v>49</v>
      </c>
      <c r="F55" t="s">
        <v>49</v>
      </c>
      <c r="G55" t="s">
        <v>23</v>
      </c>
      <c r="H55">
        <v>32</v>
      </c>
      <c r="I55">
        <v>1</v>
      </c>
      <c r="J55">
        <v>5</v>
      </c>
      <c r="K55">
        <v>3</v>
      </c>
      <c r="L55">
        <v>3</v>
      </c>
      <c r="M55">
        <v>1</v>
      </c>
      <c r="N55" t="s">
        <v>33</v>
      </c>
      <c r="O55" t="s">
        <v>69</v>
      </c>
      <c r="P55" t="s">
        <v>44</v>
      </c>
      <c r="Q55">
        <v>2000000</v>
      </c>
      <c r="R55" t="s">
        <v>57</v>
      </c>
      <c r="S55" t="str">
        <f>LOWER(TRIM(CLEAN(tbl_survey_clean[[#This Row],[Komentar]])))</f>
        <v>pengiriman agak lama dari estimasi</v>
      </c>
      <c r="T55">
        <f>LEN(tbl_survey_clean[[#This Row],[Komentar_Clean]])</f>
        <v>34</v>
      </c>
      <c r="U55" t="str">
        <f t="shared" si="2"/>
        <v>Pengiriman</v>
      </c>
      <c r="V55" t="str">
        <f t="shared" si="3"/>
        <v>Negatif</v>
      </c>
      <c r="W55" s="6">
        <v>46043</v>
      </c>
      <c r="X55" t="s">
        <v>363</v>
      </c>
    </row>
    <row r="56" spans="1:24" hidden="1" x14ac:dyDescent="0.3">
      <c r="A56" t="s">
        <v>185</v>
      </c>
      <c r="B56" t="s">
        <v>86</v>
      </c>
      <c r="C56">
        <v>23</v>
      </c>
      <c r="D56" t="s">
        <v>90</v>
      </c>
      <c r="E56" t="s">
        <v>118</v>
      </c>
      <c r="F56" t="s">
        <v>79</v>
      </c>
      <c r="G56" t="s">
        <v>41</v>
      </c>
      <c r="H56">
        <v>7</v>
      </c>
      <c r="I56">
        <v>2</v>
      </c>
      <c r="J56">
        <v>1</v>
      </c>
      <c r="K56">
        <v>1</v>
      </c>
      <c r="L56">
        <v>1</v>
      </c>
      <c r="M56">
        <v>7</v>
      </c>
      <c r="N56" t="s">
        <v>24</v>
      </c>
      <c r="O56" t="s">
        <v>34</v>
      </c>
      <c r="P56" t="s">
        <v>26</v>
      </c>
      <c r="Q56">
        <v>1000000</v>
      </c>
      <c r="R56" t="s">
        <v>186</v>
      </c>
      <c r="S56" t="str">
        <f>LOWER(TRIM(CLEAN(tbl_survey_clean[[#This Row],[Komentar]])))</f>
        <v>oke lah, bisa dicoba lagi</v>
      </c>
      <c r="T56">
        <f>LEN(tbl_survey_clean[[#This Row],[Komentar_Clean]])</f>
        <v>25</v>
      </c>
      <c r="U56" t="str">
        <f t="shared" si="2"/>
        <v>Lainnya</v>
      </c>
      <c r="V56" t="str">
        <f t="shared" si="3"/>
        <v>Netral</v>
      </c>
      <c r="W56" s="6">
        <v>46164</v>
      </c>
      <c r="X56" t="s">
        <v>367</v>
      </c>
    </row>
    <row r="57" spans="1:24" hidden="1" x14ac:dyDescent="0.3">
      <c r="A57" t="s">
        <v>187</v>
      </c>
      <c r="B57" t="s">
        <v>136</v>
      </c>
      <c r="C57">
        <v>62</v>
      </c>
      <c r="D57" t="s">
        <v>83</v>
      </c>
      <c r="E57" t="s">
        <v>39</v>
      </c>
      <c r="F57" t="s">
        <v>40</v>
      </c>
      <c r="G57" t="s">
        <v>23</v>
      </c>
      <c r="H57">
        <v>2</v>
      </c>
      <c r="I57">
        <v>4</v>
      </c>
      <c r="J57">
        <v>4</v>
      </c>
      <c r="K57">
        <v>1</v>
      </c>
      <c r="L57">
        <v>2</v>
      </c>
      <c r="M57">
        <v>2</v>
      </c>
      <c r="N57" t="s">
        <v>33</v>
      </c>
      <c r="O57" t="s">
        <v>34</v>
      </c>
      <c r="P57" t="s">
        <v>26</v>
      </c>
      <c r="Q57">
        <v>500000</v>
      </c>
      <c r="R57" t="s">
        <v>80</v>
      </c>
      <c r="S57" t="str">
        <f>LOWER(TRIM(CLEAN(tbl_survey_clean[[#This Row],[Komentar]])))</f>
        <v>proses return barang terlalu ribet</v>
      </c>
      <c r="T57">
        <f>LEN(tbl_survey_clean[[#This Row],[Komentar_Clean]])</f>
        <v>34</v>
      </c>
      <c r="U57" t="str">
        <f t="shared" si="2"/>
        <v>Lainnya</v>
      </c>
      <c r="V57" t="str">
        <f t="shared" si="3"/>
        <v>Negatif</v>
      </c>
      <c r="W57" s="6">
        <v>46098</v>
      </c>
      <c r="X57" t="s">
        <v>365</v>
      </c>
    </row>
    <row r="58" spans="1:24" hidden="1" x14ac:dyDescent="0.3">
      <c r="A58" t="s">
        <v>188</v>
      </c>
      <c r="B58" t="s">
        <v>189</v>
      </c>
      <c r="C58">
        <v>61</v>
      </c>
      <c r="D58" t="s">
        <v>83</v>
      </c>
      <c r="E58" t="s">
        <v>60</v>
      </c>
      <c r="F58" t="s">
        <v>61</v>
      </c>
      <c r="G58" t="s">
        <v>23</v>
      </c>
      <c r="H58">
        <v>12</v>
      </c>
      <c r="I58">
        <v>1</v>
      </c>
      <c r="J58">
        <v>2</v>
      </c>
      <c r="K58">
        <v>1</v>
      </c>
      <c r="L58">
        <v>1</v>
      </c>
      <c r="M58">
        <v>10</v>
      </c>
      <c r="N58" t="s">
        <v>42</v>
      </c>
      <c r="O58" t="s">
        <v>43</v>
      </c>
      <c r="P58" t="s">
        <v>44</v>
      </c>
      <c r="Q58">
        <v>500000</v>
      </c>
      <c r="R58" t="s">
        <v>97</v>
      </c>
      <c r="S58" t="str">
        <f>LOWER(TRIM(CLEAN(tbl_survey_clean[[#This Row],[Komentar]])))</f>
        <v>pengiriman cepat dan packaging aman</v>
      </c>
      <c r="T58">
        <f>LEN(tbl_survey_clean[[#This Row],[Komentar_Clean]])</f>
        <v>35</v>
      </c>
      <c r="U58" t="str">
        <f t="shared" si="2"/>
        <v>Pengiriman</v>
      </c>
      <c r="V58" t="str">
        <f t="shared" si="3"/>
        <v>Positif</v>
      </c>
      <c r="W58" s="6">
        <v>46183</v>
      </c>
      <c r="X58" t="s">
        <v>368</v>
      </c>
    </row>
    <row r="59" spans="1:24" hidden="1" x14ac:dyDescent="0.3">
      <c r="A59" t="s">
        <v>190</v>
      </c>
      <c r="B59" t="s">
        <v>38</v>
      </c>
      <c r="C59">
        <v>65</v>
      </c>
      <c r="D59" t="s">
        <v>83</v>
      </c>
      <c r="E59" t="s">
        <v>115</v>
      </c>
      <c r="F59" t="s">
        <v>22</v>
      </c>
      <c r="G59" t="s">
        <v>23</v>
      </c>
      <c r="H59">
        <v>47</v>
      </c>
      <c r="I59">
        <v>1</v>
      </c>
      <c r="J59">
        <v>1</v>
      </c>
      <c r="K59">
        <v>3</v>
      </c>
      <c r="L59">
        <v>1</v>
      </c>
      <c r="M59">
        <v>5</v>
      </c>
      <c r="N59" t="s">
        <v>33</v>
      </c>
      <c r="O59" t="s">
        <v>50</v>
      </c>
      <c r="P59" t="s">
        <v>108</v>
      </c>
      <c r="Q59">
        <v>100000</v>
      </c>
      <c r="R59" t="s">
        <v>121</v>
      </c>
      <c r="S59" t="str">
        <f>LOWER(TRIM(CLEAN(tbl_survey_clean[[#This Row],[Komentar]])))</f>
        <v>ada beberapa produk yang tidak sesuai foto</v>
      </c>
      <c r="T59">
        <f>LEN(tbl_survey_clean[[#This Row],[Komentar_Clean]])</f>
        <v>42</v>
      </c>
      <c r="U59" t="str">
        <f t="shared" si="2"/>
        <v>Produk</v>
      </c>
      <c r="V59" t="str">
        <f t="shared" si="3"/>
        <v>Netral</v>
      </c>
      <c r="W59" s="6">
        <v>46181</v>
      </c>
      <c r="X59" t="s">
        <v>368</v>
      </c>
    </row>
    <row r="60" spans="1:24" hidden="1" x14ac:dyDescent="0.3">
      <c r="A60" t="s">
        <v>191</v>
      </c>
      <c r="B60" t="s">
        <v>192</v>
      </c>
      <c r="C60">
        <v>45</v>
      </c>
      <c r="D60" t="s">
        <v>30</v>
      </c>
      <c r="E60" t="s">
        <v>72</v>
      </c>
      <c r="F60" t="s">
        <v>73</v>
      </c>
      <c r="G60" t="s">
        <v>41</v>
      </c>
      <c r="H60">
        <v>9</v>
      </c>
      <c r="I60">
        <v>3</v>
      </c>
      <c r="J60">
        <v>1</v>
      </c>
      <c r="K60">
        <v>4</v>
      </c>
      <c r="L60">
        <v>1</v>
      </c>
      <c r="M60">
        <v>7</v>
      </c>
      <c r="N60" t="s">
        <v>24</v>
      </c>
      <c r="O60" t="s">
        <v>25</v>
      </c>
      <c r="P60" t="s">
        <v>108</v>
      </c>
      <c r="Q60">
        <v>500000</v>
      </c>
      <c r="R60" t="s">
        <v>92</v>
      </c>
      <c r="S60" t="str">
        <f>LOWER(TRIM(CLEAN(tbl_survey_clean[[#This Row],[Komentar]])))</f>
        <v>cukup baik untuk harganya</v>
      </c>
      <c r="T60">
        <f>LEN(tbl_survey_clean[[#This Row],[Komentar_Clean]])</f>
        <v>25</v>
      </c>
      <c r="U60" t="str">
        <f t="shared" si="2"/>
        <v>Harga</v>
      </c>
      <c r="V60" t="str">
        <f t="shared" si="3"/>
        <v>Netral</v>
      </c>
      <c r="W60" s="6">
        <v>46115</v>
      </c>
      <c r="X60" t="s">
        <v>366</v>
      </c>
    </row>
    <row r="61" spans="1:24" hidden="1" x14ac:dyDescent="0.3">
      <c r="A61" t="s">
        <v>193</v>
      </c>
      <c r="B61" t="s">
        <v>159</v>
      </c>
      <c r="C61">
        <v>58</v>
      </c>
      <c r="D61" t="s">
        <v>83</v>
      </c>
      <c r="E61" t="s">
        <v>78</v>
      </c>
      <c r="F61" t="s">
        <v>79</v>
      </c>
      <c r="G61" t="s">
        <v>41</v>
      </c>
      <c r="H61">
        <v>19</v>
      </c>
      <c r="I61">
        <v>1</v>
      </c>
      <c r="J61">
        <v>2</v>
      </c>
      <c r="K61">
        <v>1</v>
      </c>
      <c r="L61">
        <v>1</v>
      </c>
      <c r="M61">
        <v>0</v>
      </c>
      <c r="N61" t="s">
        <v>33</v>
      </c>
      <c r="O61" t="s">
        <v>25</v>
      </c>
      <c r="P61" t="s">
        <v>44</v>
      </c>
      <c r="Q61">
        <v>2000000</v>
      </c>
      <c r="R61" t="s">
        <v>66</v>
      </c>
      <c r="S61" t="str">
        <f>LOWER(TRIM(CLEAN(tbl_survey_clean[[#This Row],[Komentar]])))</f>
        <v>susah dihubungi ketika ada masalah</v>
      </c>
      <c r="T61">
        <f>LEN(tbl_survey_clean[[#This Row],[Komentar_Clean]])</f>
        <v>34</v>
      </c>
      <c r="U61" t="str">
        <f t="shared" si="2"/>
        <v>Lainnya</v>
      </c>
      <c r="V61" t="str">
        <f t="shared" si="3"/>
        <v>Negatif</v>
      </c>
      <c r="W61" s="6">
        <v>46170</v>
      </c>
      <c r="X61" t="s">
        <v>367</v>
      </c>
    </row>
    <row r="62" spans="1:24" x14ac:dyDescent="0.3">
      <c r="A62" t="s">
        <v>194</v>
      </c>
      <c r="B62" t="s">
        <v>138</v>
      </c>
      <c r="C62">
        <v>54</v>
      </c>
      <c r="D62" t="s">
        <v>30</v>
      </c>
      <c r="E62" t="s">
        <v>174</v>
      </c>
      <c r="F62" t="s">
        <v>32</v>
      </c>
      <c r="G62" t="s">
        <v>23</v>
      </c>
      <c r="H62">
        <v>14</v>
      </c>
      <c r="I62">
        <v>1</v>
      </c>
      <c r="J62">
        <v>1</v>
      </c>
      <c r="K62">
        <v>3</v>
      </c>
      <c r="L62">
        <v>3</v>
      </c>
      <c r="M62">
        <v>2</v>
      </c>
      <c r="N62" t="s">
        <v>33</v>
      </c>
      <c r="O62" t="s">
        <v>43</v>
      </c>
      <c r="P62" t="s">
        <v>44</v>
      </c>
      <c r="Q62">
        <v>500000</v>
      </c>
      <c r="R62" t="s">
        <v>57</v>
      </c>
      <c r="S62" t="str">
        <f>LOWER(TRIM(CLEAN(tbl_survey_clean[[#This Row],[Komentar]])))</f>
        <v>pengiriman agak lama dari estimasi</v>
      </c>
      <c r="T62">
        <f>LEN(tbl_survey_clean[[#This Row],[Komentar_Clean]])</f>
        <v>34</v>
      </c>
      <c r="U62" t="str">
        <f t="shared" si="2"/>
        <v>Pengiriman</v>
      </c>
      <c r="V62" t="str">
        <f t="shared" si="3"/>
        <v>Negatif</v>
      </c>
      <c r="W62" s="6">
        <v>46072</v>
      </c>
      <c r="X62" t="s">
        <v>364</v>
      </c>
    </row>
    <row r="63" spans="1:24" hidden="1" x14ac:dyDescent="0.3">
      <c r="A63" t="s">
        <v>195</v>
      </c>
      <c r="B63" t="s">
        <v>38</v>
      </c>
      <c r="C63">
        <v>57</v>
      </c>
      <c r="D63" t="s">
        <v>83</v>
      </c>
      <c r="E63" t="s">
        <v>152</v>
      </c>
      <c r="F63" t="s">
        <v>65</v>
      </c>
      <c r="G63" t="s">
        <v>23</v>
      </c>
      <c r="H63">
        <v>12</v>
      </c>
      <c r="I63">
        <v>5</v>
      </c>
      <c r="J63">
        <v>1</v>
      </c>
      <c r="K63">
        <v>2</v>
      </c>
      <c r="L63">
        <v>3</v>
      </c>
      <c r="M63">
        <v>9</v>
      </c>
      <c r="N63" t="s">
        <v>42</v>
      </c>
      <c r="O63" t="s">
        <v>34</v>
      </c>
      <c r="P63" t="s">
        <v>26</v>
      </c>
      <c r="Q63">
        <v>1000000</v>
      </c>
      <c r="R63" t="s">
        <v>143</v>
      </c>
      <c r="S63" t="str">
        <f>LOWER(TRIM(CLEAN(tbl_survey_clean[[#This Row],[Komentar]])))</f>
        <v>akan rekomendasikan ke teman-teman</v>
      </c>
      <c r="T63">
        <f>LEN(tbl_survey_clean[[#This Row],[Komentar_Clean]])</f>
        <v>34</v>
      </c>
      <c r="U63" t="str">
        <f t="shared" si="2"/>
        <v>Lainnya</v>
      </c>
      <c r="V63" t="str">
        <f t="shared" si="3"/>
        <v>Netral</v>
      </c>
      <c r="W63" s="6">
        <v>46203</v>
      </c>
      <c r="X63" t="s">
        <v>368</v>
      </c>
    </row>
    <row r="64" spans="1:24" hidden="1" x14ac:dyDescent="0.3">
      <c r="A64" t="s">
        <v>196</v>
      </c>
      <c r="B64" t="s">
        <v>151</v>
      </c>
      <c r="C64">
        <v>38</v>
      </c>
      <c r="D64" t="s">
        <v>20</v>
      </c>
      <c r="E64" t="s">
        <v>118</v>
      </c>
      <c r="F64" t="s">
        <v>79</v>
      </c>
      <c r="G64" t="s">
        <v>41</v>
      </c>
      <c r="H64">
        <v>4</v>
      </c>
      <c r="I64">
        <v>2</v>
      </c>
      <c r="J64">
        <v>1</v>
      </c>
      <c r="K64">
        <v>3</v>
      </c>
      <c r="L64">
        <v>4</v>
      </c>
      <c r="M64">
        <v>1</v>
      </c>
      <c r="N64" t="s">
        <v>33</v>
      </c>
      <c r="O64" t="s">
        <v>69</v>
      </c>
      <c r="P64" t="s">
        <v>44</v>
      </c>
      <c r="Q64">
        <v>500000</v>
      </c>
      <c r="R64" t="s">
        <v>57</v>
      </c>
      <c r="S64" t="str">
        <f>LOWER(TRIM(CLEAN(tbl_survey_clean[[#This Row],[Komentar]])))</f>
        <v>pengiriman agak lama dari estimasi</v>
      </c>
      <c r="T64">
        <f>LEN(tbl_survey_clean[[#This Row],[Komentar_Clean]])</f>
        <v>34</v>
      </c>
      <c r="U64" t="str">
        <f t="shared" si="2"/>
        <v>Pengiriman</v>
      </c>
      <c r="V64" t="str">
        <f t="shared" si="3"/>
        <v>Negatif</v>
      </c>
      <c r="W64" s="6">
        <v>46040</v>
      </c>
      <c r="X64" t="s">
        <v>363</v>
      </c>
    </row>
    <row r="65" spans="1:24" hidden="1" x14ac:dyDescent="0.3">
      <c r="A65" t="s">
        <v>197</v>
      </c>
      <c r="B65" t="s">
        <v>82</v>
      </c>
      <c r="C65">
        <v>52</v>
      </c>
      <c r="D65" t="s">
        <v>30</v>
      </c>
      <c r="E65" t="s">
        <v>124</v>
      </c>
      <c r="F65" t="s">
        <v>125</v>
      </c>
      <c r="G65" t="s">
        <v>41</v>
      </c>
      <c r="H65">
        <v>17</v>
      </c>
      <c r="I65">
        <v>1</v>
      </c>
      <c r="J65">
        <v>1</v>
      </c>
      <c r="K65">
        <v>5</v>
      </c>
      <c r="L65">
        <v>4</v>
      </c>
      <c r="M65">
        <v>7</v>
      </c>
      <c r="N65" t="s">
        <v>24</v>
      </c>
      <c r="O65" t="s">
        <v>50</v>
      </c>
      <c r="P65" t="s">
        <v>108</v>
      </c>
      <c r="Q65">
        <v>50000</v>
      </c>
      <c r="R65" t="s">
        <v>186</v>
      </c>
      <c r="S65" t="str">
        <f>LOWER(TRIM(CLEAN(tbl_survey_clean[[#This Row],[Komentar]])))</f>
        <v>oke lah, bisa dicoba lagi</v>
      </c>
      <c r="T65">
        <f>LEN(tbl_survey_clean[[#This Row],[Komentar_Clean]])</f>
        <v>25</v>
      </c>
      <c r="U65" t="str">
        <f t="shared" si="2"/>
        <v>Lainnya</v>
      </c>
      <c r="V65" t="str">
        <f t="shared" si="3"/>
        <v>Netral</v>
      </c>
      <c r="W65" s="6">
        <v>46034</v>
      </c>
      <c r="X65" t="s">
        <v>363</v>
      </c>
    </row>
    <row r="66" spans="1:24" hidden="1" x14ac:dyDescent="0.3">
      <c r="A66" t="s">
        <v>198</v>
      </c>
      <c r="B66" t="s">
        <v>199</v>
      </c>
      <c r="C66">
        <v>60</v>
      </c>
      <c r="D66" t="s">
        <v>83</v>
      </c>
      <c r="E66" t="s">
        <v>200</v>
      </c>
      <c r="F66" t="s">
        <v>56</v>
      </c>
      <c r="G66" t="s">
        <v>41</v>
      </c>
      <c r="H66">
        <v>38</v>
      </c>
      <c r="I66">
        <v>2</v>
      </c>
      <c r="J66">
        <v>2</v>
      </c>
      <c r="K66">
        <v>2</v>
      </c>
      <c r="L66">
        <v>5</v>
      </c>
      <c r="M66">
        <v>4</v>
      </c>
      <c r="N66" t="s">
        <v>33</v>
      </c>
      <c r="O66" t="s">
        <v>43</v>
      </c>
      <c r="P66" t="s">
        <v>44</v>
      </c>
      <c r="Q66">
        <v>2000000</v>
      </c>
      <c r="R66" t="s">
        <v>36</v>
      </c>
      <c r="S66" t="str">
        <f>LOWER(TRIM(CLEAN(tbl_survey_clean[[#This Row],[Komentar]])))</f>
        <v>harga naik tapi kualitas sama saja</v>
      </c>
      <c r="T66">
        <f>LEN(tbl_survey_clean[[#This Row],[Komentar_Clean]])</f>
        <v>34</v>
      </c>
      <c r="U66" t="str">
        <f t="shared" ref="U66:U97" si="4">IF(ISNUMBER(SEARCH("harga",S66)),"Harga",IF(ISNUMBER(SEARCH("pengiriman",S66)),"Pengiriman",IF(ISNUMBER(SEARCH("pelayanan",S66)),"Pelayanan",IF(ISNUMBER(SEARCH("produk",S66)),"Produk","Lainnya"))))</f>
        <v>Harga</v>
      </c>
      <c r="V66" t="str">
        <f t="shared" ref="V66:V97" si="5">IF(OR(ISNUMBER(SEARCH("puas",S66)),ISNUMBER(SEARCH("bagus",S66)),ISNUMBER(SEARCH("cepat",S66)),ISNUMBER(SEARCH("aman",S66))),"Positif",IF(OR(ISNUMBER(SEARCH("mahal",S66)),ISNUMBER(SEARCH("lama",S66)),ISNUMBER(SEARCH("buruk",S66)),ISNUMBER(SEARCH("susah",S66)),ISNUMBER(SEARCH("ribet",S66)),ISNUMBER(SEARCH("perbaikan",S66))),"Negatif","Netral"))</f>
        <v>Netral</v>
      </c>
      <c r="W66" s="6">
        <v>46192</v>
      </c>
      <c r="X66" t="s">
        <v>368</v>
      </c>
    </row>
    <row r="67" spans="1:24" x14ac:dyDescent="0.3">
      <c r="A67" t="s">
        <v>201</v>
      </c>
      <c r="B67" t="s">
        <v>38</v>
      </c>
      <c r="C67">
        <v>46</v>
      </c>
      <c r="D67" t="s">
        <v>30</v>
      </c>
      <c r="E67" t="s">
        <v>124</v>
      </c>
      <c r="F67" t="s">
        <v>125</v>
      </c>
      <c r="G67" t="s">
        <v>41</v>
      </c>
      <c r="H67">
        <v>11</v>
      </c>
      <c r="I67">
        <v>4</v>
      </c>
      <c r="J67">
        <v>2</v>
      </c>
      <c r="K67">
        <v>3</v>
      </c>
      <c r="L67">
        <v>3</v>
      </c>
      <c r="M67">
        <v>0</v>
      </c>
      <c r="N67" t="s">
        <v>33</v>
      </c>
      <c r="O67" t="s">
        <v>43</v>
      </c>
      <c r="P67" t="s">
        <v>51</v>
      </c>
      <c r="Q67">
        <v>2000000</v>
      </c>
      <c r="R67" t="s">
        <v>121</v>
      </c>
      <c r="S67" t="str">
        <f>LOWER(TRIM(CLEAN(tbl_survey_clean[[#This Row],[Komentar]])))</f>
        <v>ada beberapa produk yang tidak sesuai foto</v>
      </c>
      <c r="T67">
        <f>LEN(tbl_survey_clean[[#This Row],[Komentar_Clean]])</f>
        <v>42</v>
      </c>
      <c r="U67" t="str">
        <f t="shared" si="4"/>
        <v>Produk</v>
      </c>
      <c r="V67" t="str">
        <f t="shared" si="5"/>
        <v>Netral</v>
      </c>
      <c r="W67" s="6">
        <v>46081</v>
      </c>
      <c r="X67" t="s">
        <v>364</v>
      </c>
    </row>
    <row r="68" spans="1:24" hidden="1" x14ac:dyDescent="0.3">
      <c r="A68" t="s">
        <v>202</v>
      </c>
      <c r="B68" t="s">
        <v>68</v>
      </c>
      <c r="C68">
        <v>37</v>
      </c>
      <c r="D68" t="s">
        <v>20</v>
      </c>
      <c r="E68" t="s">
        <v>203</v>
      </c>
      <c r="F68" t="s">
        <v>32</v>
      </c>
      <c r="G68" t="s">
        <v>41</v>
      </c>
      <c r="H68">
        <v>30</v>
      </c>
      <c r="I68">
        <v>3</v>
      </c>
      <c r="J68">
        <v>2</v>
      </c>
      <c r="K68">
        <v>4</v>
      </c>
      <c r="L68">
        <v>2</v>
      </c>
      <c r="M68">
        <v>4</v>
      </c>
      <c r="N68" t="s">
        <v>33</v>
      </c>
      <c r="O68" t="s">
        <v>107</v>
      </c>
      <c r="P68" t="s">
        <v>44</v>
      </c>
      <c r="Q68">
        <v>1000000</v>
      </c>
      <c r="R68" t="s">
        <v>57</v>
      </c>
      <c r="S68" t="str">
        <f>LOWER(TRIM(CLEAN(tbl_survey_clean[[#This Row],[Komentar]])))</f>
        <v>pengiriman agak lama dari estimasi</v>
      </c>
      <c r="T68">
        <f>LEN(tbl_survey_clean[[#This Row],[Komentar_Clean]])</f>
        <v>34</v>
      </c>
      <c r="U68" t="str">
        <f t="shared" si="4"/>
        <v>Pengiriman</v>
      </c>
      <c r="V68" t="str">
        <f t="shared" si="5"/>
        <v>Negatif</v>
      </c>
      <c r="W68" s="6">
        <v>46097</v>
      </c>
      <c r="X68" t="s">
        <v>365</v>
      </c>
    </row>
    <row r="69" spans="1:24" hidden="1" x14ac:dyDescent="0.3">
      <c r="A69" t="s">
        <v>204</v>
      </c>
      <c r="B69" t="s">
        <v>120</v>
      </c>
      <c r="C69">
        <v>59</v>
      </c>
      <c r="D69" t="s">
        <v>83</v>
      </c>
      <c r="E69" t="s">
        <v>171</v>
      </c>
      <c r="F69" t="s">
        <v>79</v>
      </c>
      <c r="G69" t="s">
        <v>41</v>
      </c>
      <c r="H69">
        <v>7</v>
      </c>
      <c r="I69">
        <v>5</v>
      </c>
      <c r="J69">
        <v>2</v>
      </c>
      <c r="K69">
        <v>2</v>
      </c>
      <c r="L69">
        <v>2</v>
      </c>
      <c r="M69">
        <v>4</v>
      </c>
      <c r="N69" t="s">
        <v>33</v>
      </c>
      <c r="O69" t="s">
        <v>107</v>
      </c>
      <c r="P69" t="s">
        <v>44</v>
      </c>
      <c r="Q69">
        <v>50000</v>
      </c>
      <c r="R69" t="s">
        <v>36</v>
      </c>
      <c r="S69" t="str">
        <f>LOWER(TRIM(CLEAN(tbl_survey_clean[[#This Row],[Komentar]])))</f>
        <v>harga naik tapi kualitas sama saja</v>
      </c>
      <c r="T69">
        <f>LEN(tbl_survey_clean[[#This Row],[Komentar_Clean]])</f>
        <v>34</v>
      </c>
      <c r="U69" t="str">
        <f t="shared" si="4"/>
        <v>Harga</v>
      </c>
      <c r="V69" t="str">
        <f t="shared" si="5"/>
        <v>Netral</v>
      </c>
      <c r="W69" s="6">
        <v>46043</v>
      </c>
      <c r="X69" t="s">
        <v>363</v>
      </c>
    </row>
    <row r="70" spans="1:24" hidden="1" x14ac:dyDescent="0.3">
      <c r="A70" t="s">
        <v>205</v>
      </c>
      <c r="B70" t="s">
        <v>173</v>
      </c>
      <c r="C70">
        <v>60</v>
      </c>
      <c r="D70" t="s">
        <v>83</v>
      </c>
      <c r="E70" t="s">
        <v>78</v>
      </c>
      <c r="F70" t="s">
        <v>79</v>
      </c>
      <c r="G70" t="s">
        <v>23</v>
      </c>
      <c r="H70">
        <v>35</v>
      </c>
      <c r="I70">
        <v>1</v>
      </c>
      <c r="J70">
        <v>3</v>
      </c>
      <c r="K70">
        <v>2</v>
      </c>
      <c r="L70">
        <v>1</v>
      </c>
      <c r="M70">
        <v>10</v>
      </c>
      <c r="N70" t="s">
        <v>42</v>
      </c>
      <c r="O70" t="s">
        <v>34</v>
      </c>
      <c r="P70" t="s">
        <v>44</v>
      </c>
      <c r="Q70">
        <v>1000000</v>
      </c>
      <c r="R70" t="s">
        <v>126</v>
      </c>
      <c r="S70" t="str">
        <f>LOWER(TRIM(CLEAN(tbl_survey_clean[[#This Row],[Komentar]])))</f>
        <v>sudah berlangganan 2 tahun, selalu puas</v>
      </c>
      <c r="T70">
        <f>LEN(tbl_survey_clean[[#This Row],[Komentar_Clean]])</f>
        <v>39</v>
      </c>
      <c r="U70" t="str">
        <f t="shared" si="4"/>
        <v>Lainnya</v>
      </c>
      <c r="V70" t="str">
        <f t="shared" si="5"/>
        <v>Positif</v>
      </c>
      <c r="W70" s="6">
        <v>46082</v>
      </c>
      <c r="X70" t="s">
        <v>365</v>
      </c>
    </row>
    <row r="71" spans="1:24" hidden="1" x14ac:dyDescent="0.3">
      <c r="A71" t="s">
        <v>206</v>
      </c>
      <c r="B71" t="s">
        <v>86</v>
      </c>
      <c r="C71">
        <v>22</v>
      </c>
      <c r="D71" t="s">
        <v>90</v>
      </c>
      <c r="E71" t="s">
        <v>21</v>
      </c>
      <c r="F71" t="s">
        <v>22</v>
      </c>
      <c r="G71" t="s">
        <v>23</v>
      </c>
      <c r="H71">
        <v>1</v>
      </c>
      <c r="I71">
        <v>4</v>
      </c>
      <c r="J71">
        <v>4</v>
      </c>
      <c r="K71">
        <v>4</v>
      </c>
      <c r="L71">
        <v>2</v>
      </c>
      <c r="M71">
        <v>2</v>
      </c>
      <c r="N71" t="s">
        <v>33</v>
      </c>
      <c r="O71" t="s">
        <v>50</v>
      </c>
      <c r="P71" t="s">
        <v>26</v>
      </c>
      <c r="Q71">
        <v>250000</v>
      </c>
      <c r="R71" t="s">
        <v>87</v>
      </c>
      <c r="S71" t="str">
        <f>LOWER(TRIM(CLEAN(tbl_survey_clean[[#This Row],[Komentar]])))</f>
        <v>perlu peningkatan pada packaging</v>
      </c>
      <c r="T71">
        <f>LEN(tbl_survey_clean[[#This Row],[Komentar_Clean]])</f>
        <v>32</v>
      </c>
      <c r="U71" t="str">
        <f t="shared" si="4"/>
        <v>Lainnya</v>
      </c>
      <c r="V71" t="str">
        <f t="shared" si="5"/>
        <v>Netral</v>
      </c>
      <c r="W71" s="6">
        <v>46048</v>
      </c>
      <c r="X71" t="s">
        <v>363</v>
      </c>
    </row>
    <row r="72" spans="1:24" hidden="1" x14ac:dyDescent="0.3">
      <c r="A72" t="s">
        <v>207</v>
      </c>
      <c r="B72" t="s">
        <v>99</v>
      </c>
      <c r="C72">
        <v>37</v>
      </c>
      <c r="D72" t="s">
        <v>20</v>
      </c>
      <c r="E72" t="s">
        <v>39</v>
      </c>
      <c r="F72" t="s">
        <v>40</v>
      </c>
      <c r="G72" t="s">
        <v>23</v>
      </c>
      <c r="H72">
        <v>38</v>
      </c>
      <c r="I72">
        <v>5</v>
      </c>
      <c r="J72">
        <v>2</v>
      </c>
      <c r="K72">
        <v>1</v>
      </c>
      <c r="L72">
        <v>2</v>
      </c>
      <c r="M72">
        <v>9</v>
      </c>
      <c r="N72" t="s">
        <v>42</v>
      </c>
      <c r="O72" t="s">
        <v>34</v>
      </c>
      <c r="P72" t="s">
        <v>51</v>
      </c>
      <c r="Q72">
        <v>5000000</v>
      </c>
      <c r="R72" t="s">
        <v>208</v>
      </c>
      <c r="S72" t="str">
        <f>LOWER(TRIM(CLEAN(tbl_survey_clean[[#This Row],[Komentar]])))</f>
        <v>produk sesuai deskripsi, tidak mengecewakan</v>
      </c>
      <c r="T72">
        <f>LEN(tbl_survey_clean[[#This Row],[Komentar_Clean]])</f>
        <v>43</v>
      </c>
      <c r="U72" t="str">
        <f t="shared" si="4"/>
        <v>Produk</v>
      </c>
      <c r="V72" t="str">
        <f t="shared" si="5"/>
        <v>Netral</v>
      </c>
      <c r="W72" s="6">
        <v>46120</v>
      </c>
      <c r="X72" t="s">
        <v>366</v>
      </c>
    </row>
    <row r="73" spans="1:24" hidden="1" x14ac:dyDescent="0.3">
      <c r="A73" t="s">
        <v>209</v>
      </c>
      <c r="B73" t="s">
        <v>145</v>
      </c>
      <c r="C73">
        <v>32</v>
      </c>
      <c r="D73" t="s">
        <v>54</v>
      </c>
      <c r="E73" t="s">
        <v>163</v>
      </c>
      <c r="F73" t="s">
        <v>373</v>
      </c>
      <c r="G73" t="s">
        <v>41</v>
      </c>
      <c r="H73">
        <v>23</v>
      </c>
      <c r="I73">
        <v>4</v>
      </c>
      <c r="J73">
        <v>2</v>
      </c>
      <c r="K73">
        <v>1</v>
      </c>
      <c r="L73">
        <v>2</v>
      </c>
      <c r="M73">
        <v>7</v>
      </c>
      <c r="N73" t="s">
        <v>24</v>
      </c>
      <c r="O73" t="s">
        <v>25</v>
      </c>
      <c r="P73" t="s">
        <v>51</v>
      </c>
      <c r="Q73">
        <v>1000000</v>
      </c>
      <c r="R73" t="s">
        <v>27</v>
      </c>
      <c r="S73" t="str">
        <f>LOWER(TRIM(CLEAN(tbl_survey_clean[[#This Row],[Komentar]])))</f>
        <v>perlu beberapa perbaikan minor</v>
      </c>
      <c r="T73">
        <f>LEN(tbl_survey_clean[[#This Row],[Komentar_Clean]])</f>
        <v>30</v>
      </c>
      <c r="U73" t="str">
        <f t="shared" si="4"/>
        <v>Lainnya</v>
      </c>
      <c r="V73" t="str">
        <f t="shared" si="5"/>
        <v>Negatif</v>
      </c>
      <c r="W73" s="6">
        <v>46094</v>
      </c>
      <c r="X73" t="s">
        <v>365</v>
      </c>
    </row>
    <row r="74" spans="1:24" hidden="1" x14ac:dyDescent="0.3">
      <c r="A74" t="s">
        <v>210</v>
      </c>
      <c r="B74" t="s">
        <v>183</v>
      </c>
      <c r="C74">
        <v>61</v>
      </c>
      <c r="D74" t="s">
        <v>83</v>
      </c>
      <c r="E74" t="s">
        <v>105</v>
      </c>
      <c r="F74" t="s">
        <v>106</v>
      </c>
      <c r="G74" t="s">
        <v>41</v>
      </c>
      <c r="H74">
        <v>23</v>
      </c>
      <c r="I74">
        <v>5</v>
      </c>
      <c r="J74">
        <v>2</v>
      </c>
      <c r="K74">
        <v>1</v>
      </c>
      <c r="L74">
        <v>4</v>
      </c>
      <c r="M74">
        <v>1</v>
      </c>
      <c r="N74" t="s">
        <v>33</v>
      </c>
      <c r="O74" t="s">
        <v>69</v>
      </c>
      <c r="P74" t="s">
        <v>108</v>
      </c>
      <c r="Q74">
        <v>5000000</v>
      </c>
      <c r="R74" t="s">
        <v>57</v>
      </c>
      <c r="S74" t="str">
        <f>LOWER(TRIM(CLEAN(tbl_survey_clean[[#This Row],[Komentar]])))</f>
        <v>pengiriman agak lama dari estimasi</v>
      </c>
      <c r="T74">
        <f>LEN(tbl_survey_clean[[#This Row],[Komentar_Clean]])</f>
        <v>34</v>
      </c>
      <c r="U74" t="str">
        <f t="shared" si="4"/>
        <v>Pengiriman</v>
      </c>
      <c r="V74" t="str">
        <f t="shared" si="5"/>
        <v>Negatif</v>
      </c>
      <c r="W74" s="6">
        <v>46139</v>
      </c>
      <c r="X74" t="s">
        <v>366</v>
      </c>
    </row>
    <row r="75" spans="1:24" hidden="1" x14ac:dyDescent="0.3">
      <c r="A75" t="s">
        <v>211</v>
      </c>
      <c r="B75" t="s">
        <v>179</v>
      </c>
      <c r="C75">
        <v>29</v>
      </c>
      <c r="D75" t="s">
        <v>54</v>
      </c>
      <c r="E75" t="s">
        <v>163</v>
      </c>
      <c r="F75" t="s">
        <v>373</v>
      </c>
      <c r="G75" t="s">
        <v>41</v>
      </c>
      <c r="H75">
        <v>5</v>
      </c>
      <c r="I75">
        <v>4</v>
      </c>
      <c r="J75">
        <v>2</v>
      </c>
      <c r="K75">
        <v>1</v>
      </c>
      <c r="L75">
        <v>5</v>
      </c>
      <c r="M75">
        <v>10</v>
      </c>
      <c r="N75" t="s">
        <v>42</v>
      </c>
      <c r="O75" t="s">
        <v>107</v>
      </c>
      <c r="P75" t="s">
        <v>108</v>
      </c>
      <c r="Q75">
        <v>250000</v>
      </c>
      <c r="R75" t="s">
        <v>97</v>
      </c>
      <c r="S75" t="str">
        <f>LOWER(TRIM(CLEAN(tbl_survey_clean[[#This Row],[Komentar]])))</f>
        <v>pengiriman cepat dan packaging aman</v>
      </c>
      <c r="T75">
        <f>LEN(tbl_survey_clean[[#This Row],[Komentar_Clean]])</f>
        <v>35</v>
      </c>
      <c r="U75" t="str">
        <f t="shared" si="4"/>
        <v>Pengiriman</v>
      </c>
      <c r="V75" t="str">
        <f t="shared" si="5"/>
        <v>Positif</v>
      </c>
      <c r="W75" s="6">
        <v>46185</v>
      </c>
      <c r="X75" t="s">
        <v>368</v>
      </c>
    </row>
    <row r="76" spans="1:24" hidden="1" x14ac:dyDescent="0.3">
      <c r="A76" t="s">
        <v>212</v>
      </c>
      <c r="B76" t="s">
        <v>213</v>
      </c>
      <c r="C76">
        <v>60</v>
      </c>
      <c r="D76" t="s">
        <v>83</v>
      </c>
      <c r="E76" t="s">
        <v>105</v>
      </c>
      <c r="F76" t="s">
        <v>106</v>
      </c>
      <c r="G76" t="s">
        <v>23</v>
      </c>
      <c r="H76">
        <v>33</v>
      </c>
      <c r="I76">
        <v>3</v>
      </c>
      <c r="J76">
        <v>5</v>
      </c>
      <c r="K76">
        <v>1</v>
      </c>
      <c r="L76">
        <v>4</v>
      </c>
      <c r="M76">
        <v>1</v>
      </c>
      <c r="N76" t="s">
        <v>33</v>
      </c>
      <c r="O76" t="s">
        <v>25</v>
      </c>
      <c r="P76" t="s">
        <v>108</v>
      </c>
      <c r="Q76">
        <v>500000</v>
      </c>
      <c r="R76" t="s">
        <v>57</v>
      </c>
      <c r="S76" t="str">
        <f>LOWER(TRIM(CLEAN(tbl_survey_clean[[#This Row],[Komentar]])))</f>
        <v>pengiriman agak lama dari estimasi</v>
      </c>
      <c r="T76">
        <f>LEN(tbl_survey_clean[[#This Row],[Komentar_Clean]])</f>
        <v>34</v>
      </c>
      <c r="U76" t="str">
        <f t="shared" si="4"/>
        <v>Pengiriman</v>
      </c>
      <c r="V76" t="str">
        <f t="shared" si="5"/>
        <v>Negatif</v>
      </c>
      <c r="W76" s="6">
        <v>46116</v>
      </c>
      <c r="X76" t="s">
        <v>366</v>
      </c>
    </row>
    <row r="77" spans="1:24" x14ac:dyDescent="0.3">
      <c r="A77" t="s">
        <v>214</v>
      </c>
      <c r="B77" t="s">
        <v>215</v>
      </c>
      <c r="C77">
        <v>63</v>
      </c>
      <c r="D77" t="s">
        <v>83</v>
      </c>
      <c r="E77" t="s">
        <v>64</v>
      </c>
      <c r="F77" t="s">
        <v>65</v>
      </c>
      <c r="G77" t="s">
        <v>23</v>
      </c>
      <c r="H77">
        <v>46</v>
      </c>
      <c r="I77">
        <v>5</v>
      </c>
      <c r="J77">
        <v>3</v>
      </c>
      <c r="K77">
        <v>5</v>
      </c>
      <c r="L77">
        <v>4</v>
      </c>
      <c r="M77">
        <v>7</v>
      </c>
      <c r="N77" t="s">
        <v>24</v>
      </c>
      <c r="O77" t="s">
        <v>107</v>
      </c>
      <c r="P77" t="s">
        <v>108</v>
      </c>
      <c r="Q77">
        <v>2000000</v>
      </c>
      <c r="R77" t="s">
        <v>92</v>
      </c>
      <c r="S77" t="str">
        <f>LOWER(TRIM(CLEAN(tbl_survey_clean[[#This Row],[Komentar]])))</f>
        <v>cukup baik untuk harganya</v>
      </c>
      <c r="T77">
        <f>LEN(tbl_survey_clean[[#This Row],[Komentar_Clean]])</f>
        <v>25</v>
      </c>
      <c r="U77" t="str">
        <f t="shared" si="4"/>
        <v>Harga</v>
      </c>
      <c r="V77" t="str">
        <f t="shared" si="5"/>
        <v>Netral</v>
      </c>
      <c r="W77" s="6">
        <v>46064</v>
      </c>
      <c r="X77" t="s">
        <v>364</v>
      </c>
    </row>
    <row r="78" spans="1:24" hidden="1" x14ac:dyDescent="0.3">
      <c r="A78" t="s">
        <v>216</v>
      </c>
      <c r="B78" t="s">
        <v>217</v>
      </c>
      <c r="C78">
        <v>20</v>
      </c>
      <c r="D78" t="s">
        <v>90</v>
      </c>
      <c r="E78" t="s">
        <v>218</v>
      </c>
      <c r="F78" t="s">
        <v>373</v>
      </c>
      <c r="G78" t="s">
        <v>23</v>
      </c>
      <c r="H78">
        <v>14</v>
      </c>
      <c r="I78">
        <v>3</v>
      </c>
      <c r="J78">
        <v>2</v>
      </c>
      <c r="K78">
        <v>4</v>
      </c>
      <c r="L78">
        <v>5</v>
      </c>
      <c r="M78">
        <v>9</v>
      </c>
      <c r="N78" t="s">
        <v>42</v>
      </c>
      <c r="O78" t="s">
        <v>107</v>
      </c>
      <c r="P78" t="s">
        <v>35</v>
      </c>
      <c r="Q78">
        <v>50000</v>
      </c>
      <c r="R78" t="s">
        <v>126</v>
      </c>
      <c r="S78" t="str">
        <f>LOWER(TRIM(CLEAN(tbl_survey_clean[[#This Row],[Komentar]])))</f>
        <v>sudah berlangganan 2 tahun, selalu puas</v>
      </c>
      <c r="T78">
        <f>LEN(tbl_survey_clean[[#This Row],[Komentar_Clean]])</f>
        <v>39</v>
      </c>
      <c r="U78" t="str">
        <f t="shared" si="4"/>
        <v>Lainnya</v>
      </c>
      <c r="V78" t="str">
        <f t="shared" si="5"/>
        <v>Positif</v>
      </c>
      <c r="W78" s="6">
        <v>46117</v>
      </c>
      <c r="X78" t="s">
        <v>366</v>
      </c>
    </row>
    <row r="79" spans="1:24" hidden="1" x14ac:dyDescent="0.3">
      <c r="A79" t="s">
        <v>219</v>
      </c>
      <c r="B79" t="s">
        <v>220</v>
      </c>
      <c r="C79">
        <v>28</v>
      </c>
      <c r="D79" t="s">
        <v>54</v>
      </c>
      <c r="E79" t="s">
        <v>152</v>
      </c>
      <c r="F79" t="s">
        <v>65</v>
      </c>
      <c r="G79" t="s">
        <v>41</v>
      </c>
      <c r="H79">
        <v>7</v>
      </c>
      <c r="I79">
        <v>5</v>
      </c>
      <c r="J79">
        <v>3</v>
      </c>
      <c r="K79">
        <v>3</v>
      </c>
      <c r="L79">
        <v>3</v>
      </c>
      <c r="M79">
        <v>0</v>
      </c>
      <c r="N79" t="s">
        <v>33</v>
      </c>
      <c r="O79" t="s">
        <v>69</v>
      </c>
      <c r="P79" t="s">
        <v>51</v>
      </c>
      <c r="Q79">
        <v>1000000</v>
      </c>
      <c r="R79" t="s">
        <v>80</v>
      </c>
      <c r="S79" t="str">
        <f>LOWER(TRIM(CLEAN(tbl_survey_clean[[#This Row],[Komentar]])))</f>
        <v>proses return barang terlalu ribet</v>
      </c>
      <c r="T79">
        <f>LEN(tbl_survey_clean[[#This Row],[Komentar_Clean]])</f>
        <v>34</v>
      </c>
      <c r="U79" t="str">
        <f t="shared" si="4"/>
        <v>Lainnya</v>
      </c>
      <c r="V79" t="str">
        <f t="shared" si="5"/>
        <v>Negatif</v>
      </c>
      <c r="W79" s="6">
        <v>46113</v>
      </c>
      <c r="X79" t="s">
        <v>366</v>
      </c>
    </row>
    <row r="80" spans="1:24" x14ac:dyDescent="0.3">
      <c r="A80" t="s">
        <v>221</v>
      </c>
      <c r="B80" t="s">
        <v>94</v>
      </c>
      <c r="C80">
        <v>20</v>
      </c>
      <c r="D80" t="s">
        <v>90</v>
      </c>
      <c r="E80" t="s">
        <v>21</v>
      </c>
      <c r="F80" t="s">
        <v>22</v>
      </c>
      <c r="G80" t="s">
        <v>41</v>
      </c>
      <c r="H80">
        <v>9</v>
      </c>
      <c r="I80">
        <v>2</v>
      </c>
      <c r="J80">
        <v>5</v>
      </c>
      <c r="K80">
        <v>2</v>
      </c>
      <c r="L80">
        <v>5</v>
      </c>
      <c r="M80">
        <v>4</v>
      </c>
      <c r="N80" t="s">
        <v>33</v>
      </c>
      <c r="O80" t="s">
        <v>69</v>
      </c>
      <c r="P80" t="s">
        <v>35</v>
      </c>
      <c r="Q80">
        <v>2000000</v>
      </c>
      <c r="R80" t="s">
        <v>87</v>
      </c>
      <c r="S80" t="str">
        <f>LOWER(TRIM(CLEAN(tbl_survey_clean[[#This Row],[Komentar]])))</f>
        <v>perlu peningkatan pada packaging</v>
      </c>
      <c r="T80">
        <f>LEN(tbl_survey_clean[[#This Row],[Komentar_Clean]])</f>
        <v>32</v>
      </c>
      <c r="U80" t="str">
        <f t="shared" si="4"/>
        <v>Lainnya</v>
      </c>
      <c r="V80" t="str">
        <f t="shared" si="5"/>
        <v>Netral</v>
      </c>
      <c r="W80" s="6">
        <v>46076</v>
      </c>
      <c r="X80" t="s">
        <v>364</v>
      </c>
    </row>
    <row r="81" spans="1:24" hidden="1" x14ac:dyDescent="0.3">
      <c r="A81" t="s">
        <v>222</v>
      </c>
      <c r="B81" t="s">
        <v>223</v>
      </c>
      <c r="C81">
        <v>22</v>
      </c>
      <c r="D81" t="s">
        <v>90</v>
      </c>
      <c r="E81" t="s">
        <v>160</v>
      </c>
      <c r="F81" t="s">
        <v>373</v>
      </c>
      <c r="G81" t="s">
        <v>41</v>
      </c>
      <c r="H81">
        <v>47</v>
      </c>
      <c r="I81">
        <v>3</v>
      </c>
      <c r="J81">
        <v>3</v>
      </c>
      <c r="K81">
        <v>4</v>
      </c>
      <c r="L81">
        <v>3</v>
      </c>
      <c r="M81">
        <v>10</v>
      </c>
      <c r="N81" t="s">
        <v>42</v>
      </c>
      <c r="O81" t="s">
        <v>43</v>
      </c>
      <c r="P81" t="s">
        <v>51</v>
      </c>
      <c r="Q81">
        <v>100000</v>
      </c>
      <c r="R81" t="s">
        <v>97</v>
      </c>
      <c r="S81" t="str">
        <f>LOWER(TRIM(CLEAN(tbl_survey_clean[[#This Row],[Komentar]])))</f>
        <v>pengiriman cepat dan packaging aman</v>
      </c>
      <c r="T81">
        <f>LEN(tbl_survey_clean[[#This Row],[Komentar_Clean]])</f>
        <v>35</v>
      </c>
      <c r="U81" t="str">
        <f t="shared" si="4"/>
        <v>Pengiriman</v>
      </c>
      <c r="V81" t="str">
        <f t="shared" si="5"/>
        <v>Positif</v>
      </c>
      <c r="W81" s="6">
        <v>46194</v>
      </c>
      <c r="X81" t="s">
        <v>368</v>
      </c>
    </row>
    <row r="82" spans="1:24" hidden="1" x14ac:dyDescent="0.3">
      <c r="A82" t="s">
        <v>224</v>
      </c>
      <c r="B82" t="s">
        <v>110</v>
      </c>
      <c r="C82">
        <v>55</v>
      </c>
      <c r="D82" t="s">
        <v>83</v>
      </c>
      <c r="E82" t="s">
        <v>91</v>
      </c>
      <c r="F82" t="s">
        <v>73</v>
      </c>
      <c r="G82" t="s">
        <v>23</v>
      </c>
      <c r="H82">
        <v>41</v>
      </c>
      <c r="I82">
        <v>2</v>
      </c>
      <c r="J82">
        <v>1</v>
      </c>
      <c r="K82">
        <v>2</v>
      </c>
      <c r="L82">
        <v>1</v>
      </c>
      <c r="M82">
        <v>2</v>
      </c>
      <c r="N82" t="s">
        <v>33</v>
      </c>
      <c r="O82" t="s">
        <v>69</v>
      </c>
      <c r="P82" t="s">
        <v>35</v>
      </c>
      <c r="Q82">
        <v>100000</v>
      </c>
      <c r="R82" t="s">
        <v>57</v>
      </c>
      <c r="S82" t="str">
        <f>LOWER(TRIM(CLEAN(tbl_survey_clean[[#This Row],[Komentar]])))</f>
        <v>pengiriman agak lama dari estimasi</v>
      </c>
      <c r="T82">
        <f>LEN(tbl_survey_clean[[#This Row],[Komentar_Clean]])</f>
        <v>34</v>
      </c>
      <c r="U82" t="str">
        <f t="shared" si="4"/>
        <v>Pengiriman</v>
      </c>
      <c r="V82" t="str">
        <f t="shared" si="5"/>
        <v>Negatif</v>
      </c>
      <c r="W82" s="6">
        <v>46091</v>
      </c>
      <c r="X82" t="s">
        <v>365</v>
      </c>
    </row>
    <row r="83" spans="1:24" hidden="1" x14ac:dyDescent="0.3">
      <c r="A83" t="s">
        <v>225</v>
      </c>
      <c r="B83" t="s">
        <v>77</v>
      </c>
      <c r="C83">
        <v>25</v>
      </c>
      <c r="D83" t="s">
        <v>54</v>
      </c>
      <c r="E83" t="s">
        <v>31</v>
      </c>
      <c r="F83" t="s">
        <v>32</v>
      </c>
      <c r="G83" t="s">
        <v>41</v>
      </c>
      <c r="H83">
        <v>24</v>
      </c>
      <c r="I83">
        <v>4</v>
      </c>
      <c r="J83">
        <v>4</v>
      </c>
      <c r="K83">
        <v>3</v>
      </c>
      <c r="L83">
        <v>2</v>
      </c>
      <c r="M83">
        <v>1</v>
      </c>
      <c r="N83" t="s">
        <v>33</v>
      </c>
      <c r="O83" t="s">
        <v>34</v>
      </c>
      <c r="P83" t="s">
        <v>108</v>
      </c>
      <c r="Q83">
        <v>2000000</v>
      </c>
      <c r="R83" t="s">
        <v>121</v>
      </c>
      <c r="S83" t="str">
        <f>LOWER(TRIM(CLEAN(tbl_survey_clean[[#This Row],[Komentar]])))</f>
        <v>ada beberapa produk yang tidak sesuai foto</v>
      </c>
      <c r="T83">
        <f>LEN(tbl_survey_clean[[#This Row],[Komentar_Clean]])</f>
        <v>42</v>
      </c>
      <c r="U83" t="str">
        <f t="shared" si="4"/>
        <v>Produk</v>
      </c>
      <c r="V83" t="str">
        <f t="shared" si="5"/>
        <v>Netral</v>
      </c>
      <c r="W83" s="6">
        <v>46202</v>
      </c>
      <c r="X83" t="s">
        <v>368</v>
      </c>
    </row>
    <row r="84" spans="1:24" hidden="1" x14ac:dyDescent="0.3">
      <c r="A84" t="s">
        <v>226</v>
      </c>
      <c r="B84" t="s">
        <v>110</v>
      </c>
      <c r="C84">
        <v>38</v>
      </c>
      <c r="D84" t="s">
        <v>20</v>
      </c>
      <c r="E84" t="s">
        <v>227</v>
      </c>
      <c r="F84" t="s">
        <v>130</v>
      </c>
      <c r="G84" t="s">
        <v>23</v>
      </c>
      <c r="H84">
        <v>44</v>
      </c>
      <c r="I84">
        <v>1</v>
      </c>
      <c r="J84">
        <v>4</v>
      </c>
      <c r="K84">
        <v>3</v>
      </c>
      <c r="L84">
        <v>4</v>
      </c>
      <c r="M84">
        <v>3</v>
      </c>
      <c r="N84" t="s">
        <v>33</v>
      </c>
      <c r="O84" t="s">
        <v>69</v>
      </c>
      <c r="P84" t="s">
        <v>108</v>
      </c>
      <c r="Q84">
        <v>5000000</v>
      </c>
      <c r="R84" t="s">
        <v>57</v>
      </c>
      <c r="S84" t="str">
        <f>LOWER(TRIM(CLEAN(tbl_survey_clean[[#This Row],[Komentar]])))</f>
        <v>pengiriman agak lama dari estimasi</v>
      </c>
      <c r="T84">
        <f>LEN(tbl_survey_clean[[#This Row],[Komentar_Clean]])</f>
        <v>34</v>
      </c>
      <c r="U84" t="str">
        <f t="shared" si="4"/>
        <v>Pengiriman</v>
      </c>
      <c r="V84" t="str">
        <f t="shared" si="5"/>
        <v>Negatif</v>
      </c>
      <c r="W84" s="6">
        <v>46197</v>
      </c>
      <c r="X84" t="s">
        <v>368</v>
      </c>
    </row>
    <row r="85" spans="1:24" hidden="1" x14ac:dyDescent="0.3">
      <c r="A85" t="s">
        <v>228</v>
      </c>
      <c r="B85" t="s">
        <v>220</v>
      </c>
      <c r="C85">
        <v>46</v>
      </c>
      <c r="D85" t="s">
        <v>30</v>
      </c>
      <c r="E85" t="s">
        <v>203</v>
      </c>
      <c r="F85" t="s">
        <v>32</v>
      </c>
      <c r="G85" t="s">
        <v>41</v>
      </c>
      <c r="H85">
        <v>35</v>
      </c>
      <c r="I85">
        <v>4</v>
      </c>
      <c r="J85">
        <v>3</v>
      </c>
      <c r="K85">
        <v>4</v>
      </c>
      <c r="L85">
        <v>5</v>
      </c>
      <c r="M85">
        <v>1</v>
      </c>
      <c r="N85" t="s">
        <v>33</v>
      </c>
      <c r="O85" t="s">
        <v>69</v>
      </c>
      <c r="P85" t="s">
        <v>44</v>
      </c>
      <c r="Q85">
        <v>100000</v>
      </c>
      <c r="R85" t="s">
        <v>87</v>
      </c>
      <c r="S85" t="str">
        <f>LOWER(TRIM(CLEAN(tbl_survey_clean[[#This Row],[Komentar]])))</f>
        <v>perlu peningkatan pada packaging</v>
      </c>
      <c r="T85">
        <f>LEN(tbl_survey_clean[[#This Row],[Komentar_Clean]])</f>
        <v>32</v>
      </c>
      <c r="U85" t="str">
        <f t="shared" si="4"/>
        <v>Lainnya</v>
      </c>
      <c r="V85" t="str">
        <f t="shared" si="5"/>
        <v>Netral</v>
      </c>
      <c r="W85" s="6">
        <v>46188</v>
      </c>
      <c r="X85" t="s">
        <v>368</v>
      </c>
    </row>
    <row r="86" spans="1:24" hidden="1" x14ac:dyDescent="0.3">
      <c r="A86" t="s">
        <v>229</v>
      </c>
      <c r="B86" t="s">
        <v>183</v>
      </c>
      <c r="C86">
        <v>55</v>
      </c>
      <c r="D86" t="s">
        <v>83</v>
      </c>
      <c r="E86" t="s">
        <v>171</v>
      </c>
      <c r="F86" t="s">
        <v>79</v>
      </c>
      <c r="G86" t="s">
        <v>41</v>
      </c>
      <c r="H86">
        <v>39</v>
      </c>
      <c r="I86">
        <v>1</v>
      </c>
      <c r="J86">
        <v>4</v>
      </c>
      <c r="K86">
        <v>1</v>
      </c>
      <c r="L86">
        <v>4</v>
      </c>
      <c r="M86">
        <v>4</v>
      </c>
      <c r="N86" t="s">
        <v>33</v>
      </c>
      <c r="O86" t="s">
        <v>43</v>
      </c>
      <c r="P86" t="s">
        <v>44</v>
      </c>
      <c r="Q86">
        <v>50000</v>
      </c>
      <c r="R86" t="s">
        <v>66</v>
      </c>
      <c r="S86" t="str">
        <f>LOWER(TRIM(CLEAN(tbl_survey_clean[[#This Row],[Komentar]])))</f>
        <v>susah dihubungi ketika ada masalah</v>
      </c>
      <c r="T86">
        <f>LEN(tbl_survey_clean[[#This Row],[Komentar_Clean]])</f>
        <v>34</v>
      </c>
      <c r="U86" t="str">
        <f t="shared" si="4"/>
        <v>Lainnya</v>
      </c>
      <c r="V86" t="str">
        <f t="shared" si="5"/>
        <v>Negatif</v>
      </c>
      <c r="W86" s="6">
        <v>46041</v>
      </c>
      <c r="X86" t="s">
        <v>363</v>
      </c>
    </row>
    <row r="87" spans="1:24" hidden="1" x14ac:dyDescent="0.3">
      <c r="A87" t="s">
        <v>230</v>
      </c>
      <c r="B87" t="s">
        <v>19</v>
      </c>
      <c r="C87">
        <v>64</v>
      </c>
      <c r="D87" t="s">
        <v>83</v>
      </c>
      <c r="E87" t="s">
        <v>156</v>
      </c>
      <c r="F87" t="s">
        <v>56</v>
      </c>
      <c r="G87" t="s">
        <v>41</v>
      </c>
      <c r="H87">
        <v>11</v>
      </c>
      <c r="I87">
        <v>5</v>
      </c>
      <c r="J87">
        <v>3</v>
      </c>
      <c r="K87">
        <v>1</v>
      </c>
      <c r="L87">
        <v>5</v>
      </c>
      <c r="M87">
        <v>6</v>
      </c>
      <c r="N87" t="s">
        <v>33</v>
      </c>
      <c r="O87" t="s">
        <v>34</v>
      </c>
      <c r="P87" t="s">
        <v>44</v>
      </c>
      <c r="Q87">
        <v>100000</v>
      </c>
      <c r="R87" t="s">
        <v>186</v>
      </c>
      <c r="S87" t="str">
        <f>LOWER(TRIM(CLEAN(tbl_survey_clean[[#This Row],[Komentar]])))</f>
        <v>oke lah, bisa dicoba lagi</v>
      </c>
      <c r="T87">
        <f>LEN(tbl_survey_clean[[#This Row],[Komentar_Clean]])</f>
        <v>25</v>
      </c>
      <c r="U87" t="str">
        <f t="shared" si="4"/>
        <v>Lainnya</v>
      </c>
      <c r="V87" t="str">
        <f t="shared" si="5"/>
        <v>Netral</v>
      </c>
      <c r="W87" s="6">
        <v>46178</v>
      </c>
      <c r="X87" t="s">
        <v>368</v>
      </c>
    </row>
    <row r="88" spans="1:24" hidden="1" x14ac:dyDescent="0.3">
      <c r="A88" t="s">
        <v>231</v>
      </c>
      <c r="B88" t="s">
        <v>29</v>
      </c>
      <c r="C88">
        <v>17</v>
      </c>
      <c r="D88" t="s">
        <v>90</v>
      </c>
      <c r="E88" t="s">
        <v>124</v>
      </c>
      <c r="F88" t="s">
        <v>125</v>
      </c>
      <c r="G88" t="s">
        <v>23</v>
      </c>
      <c r="H88">
        <v>27</v>
      </c>
      <c r="I88">
        <v>5</v>
      </c>
      <c r="J88">
        <v>1</v>
      </c>
      <c r="K88">
        <v>3</v>
      </c>
      <c r="L88">
        <v>4</v>
      </c>
      <c r="M88">
        <v>8</v>
      </c>
      <c r="N88" t="s">
        <v>24</v>
      </c>
      <c r="O88" t="s">
        <v>43</v>
      </c>
      <c r="P88" t="s">
        <v>51</v>
      </c>
      <c r="Q88">
        <v>5000000</v>
      </c>
      <c r="R88" t="s">
        <v>45</v>
      </c>
      <c r="S88" t="str">
        <f>LOWER(TRIM(CLEAN(tbl_survey_clean[[#This Row],[Komentar]])))</f>
        <v>harga terjangkau untuk kualitas segini</v>
      </c>
      <c r="T88">
        <f>LEN(tbl_survey_clean[[#This Row],[Komentar_Clean]])</f>
        <v>38</v>
      </c>
      <c r="U88" t="str">
        <f t="shared" si="4"/>
        <v>Harga</v>
      </c>
      <c r="V88" t="str">
        <f t="shared" si="5"/>
        <v>Netral</v>
      </c>
      <c r="W88" s="6">
        <v>46185</v>
      </c>
      <c r="X88" t="s">
        <v>368</v>
      </c>
    </row>
    <row r="89" spans="1:24" x14ac:dyDescent="0.3">
      <c r="A89" t="s">
        <v>232</v>
      </c>
      <c r="B89" t="s">
        <v>176</v>
      </c>
      <c r="C89">
        <v>42</v>
      </c>
      <c r="D89" t="s">
        <v>20</v>
      </c>
      <c r="E89" t="s">
        <v>174</v>
      </c>
      <c r="F89" t="s">
        <v>32</v>
      </c>
      <c r="G89" t="s">
        <v>23</v>
      </c>
      <c r="H89">
        <v>24</v>
      </c>
      <c r="I89">
        <v>2</v>
      </c>
      <c r="J89">
        <v>1</v>
      </c>
      <c r="K89">
        <v>5</v>
      </c>
      <c r="L89">
        <v>5</v>
      </c>
      <c r="M89">
        <v>6</v>
      </c>
      <c r="N89" t="s">
        <v>33</v>
      </c>
      <c r="O89" t="s">
        <v>25</v>
      </c>
      <c r="P89" t="s">
        <v>26</v>
      </c>
      <c r="Q89">
        <v>50000</v>
      </c>
      <c r="R89" t="s">
        <v>27</v>
      </c>
      <c r="S89" t="str">
        <f>LOWER(TRIM(CLEAN(tbl_survey_clean[[#This Row],[Komentar]])))</f>
        <v>perlu beberapa perbaikan minor</v>
      </c>
      <c r="T89">
        <f>LEN(tbl_survey_clean[[#This Row],[Komentar_Clean]])</f>
        <v>30</v>
      </c>
      <c r="U89" t="str">
        <f t="shared" si="4"/>
        <v>Lainnya</v>
      </c>
      <c r="V89" t="str">
        <f t="shared" si="5"/>
        <v>Negatif</v>
      </c>
      <c r="W89" s="6">
        <v>46066</v>
      </c>
      <c r="X89" t="s">
        <v>364</v>
      </c>
    </row>
    <row r="90" spans="1:24" hidden="1" x14ac:dyDescent="0.3">
      <c r="A90" t="s">
        <v>233</v>
      </c>
      <c r="B90" t="s">
        <v>94</v>
      </c>
      <c r="C90">
        <v>45</v>
      </c>
      <c r="D90" t="s">
        <v>30</v>
      </c>
      <c r="E90" t="s">
        <v>171</v>
      </c>
      <c r="F90" t="s">
        <v>79</v>
      </c>
      <c r="G90" t="s">
        <v>23</v>
      </c>
      <c r="H90">
        <v>13</v>
      </c>
      <c r="I90">
        <v>4</v>
      </c>
      <c r="J90">
        <v>4</v>
      </c>
      <c r="K90">
        <v>2</v>
      </c>
      <c r="L90">
        <v>3</v>
      </c>
      <c r="M90">
        <v>9</v>
      </c>
      <c r="N90" t="s">
        <v>42</v>
      </c>
      <c r="O90" t="s">
        <v>25</v>
      </c>
      <c r="P90" t="s">
        <v>44</v>
      </c>
      <c r="Q90">
        <v>2000000</v>
      </c>
      <c r="R90" t="s">
        <v>126</v>
      </c>
      <c r="S90" t="str">
        <f>LOWER(TRIM(CLEAN(tbl_survey_clean[[#This Row],[Komentar]])))</f>
        <v>sudah berlangganan 2 tahun, selalu puas</v>
      </c>
      <c r="T90">
        <f>LEN(tbl_survey_clean[[#This Row],[Komentar_Clean]])</f>
        <v>39</v>
      </c>
      <c r="U90" t="str">
        <f t="shared" si="4"/>
        <v>Lainnya</v>
      </c>
      <c r="V90" t="str">
        <f t="shared" si="5"/>
        <v>Positif</v>
      </c>
      <c r="W90" s="6">
        <v>46159</v>
      </c>
      <c r="X90" t="s">
        <v>367</v>
      </c>
    </row>
    <row r="91" spans="1:24" hidden="1" x14ac:dyDescent="0.3">
      <c r="A91" t="s">
        <v>234</v>
      </c>
      <c r="B91" t="s">
        <v>99</v>
      </c>
      <c r="C91">
        <v>55</v>
      </c>
      <c r="D91" t="s">
        <v>83</v>
      </c>
      <c r="E91" t="s">
        <v>200</v>
      </c>
      <c r="F91" t="s">
        <v>56</v>
      </c>
      <c r="G91" t="s">
        <v>41</v>
      </c>
      <c r="H91">
        <v>25</v>
      </c>
      <c r="I91">
        <v>4</v>
      </c>
      <c r="J91">
        <v>2</v>
      </c>
      <c r="K91">
        <v>4</v>
      </c>
      <c r="L91">
        <v>2</v>
      </c>
      <c r="M91">
        <v>2</v>
      </c>
      <c r="N91" t="s">
        <v>33</v>
      </c>
      <c r="O91" t="s">
        <v>43</v>
      </c>
      <c r="P91" t="s">
        <v>26</v>
      </c>
      <c r="Q91">
        <v>100000</v>
      </c>
      <c r="R91" t="s">
        <v>121</v>
      </c>
      <c r="S91" t="str">
        <f>LOWER(TRIM(CLEAN(tbl_survey_clean[[#This Row],[Komentar]])))</f>
        <v>ada beberapa produk yang tidak sesuai foto</v>
      </c>
      <c r="T91">
        <f>LEN(tbl_survey_clean[[#This Row],[Komentar_Clean]])</f>
        <v>42</v>
      </c>
      <c r="U91" t="str">
        <f t="shared" si="4"/>
        <v>Produk</v>
      </c>
      <c r="V91" t="str">
        <f t="shared" si="5"/>
        <v>Netral</v>
      </c>
      <c r="W91" s="6">
        <v>46085</v>
      </c>
      <c r="X91" t="s">
        <v>365</v>
      </c>
    </row>
    <row r="92" spans="1:24" x14ac:dyDescent="0.3">
      <c r="A92" t="s">
        <v>235</v>
      </c>
      <c r="B92" t="s">
        <v>215</v>
      </c>
      <c r="C92">
        <v>30</v>
      </c>
      <c r="D92" t="s">
        <v>54</v>
      </c>
      <c r="E92" t="s">
        <v>115</v>
      </c>
      <c r="F92" t="s">
        <v>22</v>
      </c>
      <c r="G92" t="s">
        <v>41</v>
      </c>
      <c r="H92">
        <v>44</v>
      </c>
      <c r="I92">
        <v>4</v>
      </c>
      <c r="J92">
        <v>2</v>
      </c>
      <c r="K92">
        <v>3</v>
      </c>
      <c r="L92">
        <v>5</v>
      </c>
      <c r="M92">
        <v>5</v>
      </c>
      <c r="N92" t="s">
        <v>33</v>
      </c>
      <c r="O92" t="s">
        <v>107</v>
      </c>
      <c r="P92" t="s">
        <v>51</v>
      </c>
      <c r="Q92">
        <v>100000</v>
      </c>
      <c r="R92" t="s">
        <v>36</v>
      </c>
      <c r="S92" t="str">
        <f>LOWER(TRIM(CLEAN(tbl_survey_clean[[#This Row],[Komentar]])))</f>
        <v>harga naik tapi kualitas sama saja</v>
      </c>
      <c r="T92">
        <f>LEN(tbl_survey_clean[[#This Row],[Komentar_Clean]])</f>
        <v>34</v>
      </c>
      <c r="U92" t="str">
        <f t="shared" si="4"/>
        <v>Harga</v>
      </c>
      <c r="V92" t="str">
        <f t="shared" si="5"/>
        <v>Netral</v>
      </c>
      <c r="W92" s="6">
        <v>46064</v>
      </c>
      <c r="X92" t="s">
        <v>364</v>
      </c>
    </row>
    <row r="93" spans="1:24" hidden="1" x14ac:dyDescent="0.3">
      <c r="A93" t="s">
        <v>236</v>
      </c>
      <c r="B93" t="s">
        <v>192</v>
      </c>
      <c r="C93">
        <v>64</v>
      </c>
      <c r="D93" t="s">
        <v>83</v>
      </c>
      <c r="E93" t="s">
        <v>95</v>
      </c>
      <c r="F93" t="s">
        <v>96</v>
      </c>
      <c r="G93" t="s">
        <v>23</v>
      </c>
      <c r="H93">
        <v>6</v>
      </c>
      <c r="I93">
        <v>5</v>
      </c>
      <c r="J93">
        <v>4</v>
      </c>
      <c r="K93">
        <v>2</v>
      </c>
      <c r="L93">
        <v>2</v>
      </c>
      <c r="M93">
        <v>4</v>
      </c>
      <c r="N93" t="s">
        <v>33</v>
      </c>
      <c r="O93" t="s">
        <v>25</v>
      </c>
      <c r="P93" t="s">
        <v>35</v>
      </c>
      <c r="Q93">
        <v>2000000</v>
      </c>
      <c r="R93" t="s">
        <v>80</v>
      </c>
      <c r="S93" t="str">
        <f>LOWER(TRIM(CLEAN(tbl_survey_clean[[#This Row],[Komentar]])))</f>
        <v>proses return barang terlalu ribet</v>
      </c>
      <c r="T93">
        <f>LEN(tbl_survey_clean[[#This Row],[Komentar_Clean]])</f>
        <v>34</v>
      </c>
      <c r="U93" t="str">
        <f t="shared" si="4"/>
        <v>Lainnya</v>
      </c>
      <c r="V93" t="str">
        <f t="shared" si="5"/>
        <v>Negatif</v>
      </c>
      <c r="W93" s="6">
        <v>46141</v>
      </c>
      <c r="X93" t="s">
        <v>366</v>
      </c>
    </row>
    <row r="94" spans="1:24" hidden="1" x14ac:dyDescent="0.3">
      <c r="A94" t="s">
        <v>237</v>
      </c>
      <c r="B94" t="s">
        <v>199</v>
      </c>
      <c r="C94">
        <v>38</v>
      </c>
      <c r="D94" t="s">
        <v>20</v>
      </c>
      <c r="E94" t="s">
        <v>174</v>
      </c>
      <c r="F94" t="s">
        <v>32</v>
      </c>
      <c r="G94" t="s">
        <v>41</v>
      </c>
      <c r="H94">
        <v>43</v>
      </c>
      <c r="I94">
        <v>2</v>
      </c>
      <c r="J94">
        <v>2</v>
      </c>
      <c r="K94">
        <v>3</v>
      </c>
      <c r="L94">
        <v>4</v>
      </c>
      <c r="M94">
        <v>2</v>
      </c>
      <c r="N94" t="s">
        <v>33</v>
      </c>
      <c r="O94" t="s">
        <v>34</v>
      </c>
      <c r="P94" t="s">
        <v>35</v>
      </c>
      <c r="Q94">
        <v>50000</v>
      </c>
      <c r="R94" t="s">
        <v>36</v>
      </c>
      <c r="S94" t="str">
        <f>LOWER(TRIM(CLEAN(tbl_survey_clean[[#This Row],[Komentar]])))</f>
        <v>harga naik tapi kualitas sama saja</v>
      </c>
      <c r="T94">
        <f>LEN(tbl_survey_clean[[#This Row],[Komentar_Clean]])</f>
        <v>34</v>
      </c>
      <c r="U94" t="str">
        <f t="shared" si="4"/>
        <v>Harga</v>
      </c>
      <c r="V94" t="str">
        <f t="shared" si="5"/>
        <v>Netral</v>
      </c>
      <c r="W94" s="6">
        <v>46120</v>
      </c>
      <c r="X94" t="s">
        <v>366</v>
      </c>
    </row>
    <row r="95" spans="1:24" hidden="1" x14ac:dyDescent="0.3">
      <c r="A95" t="s">
        <v>238</v>
      </c>
      <c r="B95" t="s">
        <v>239</v>
      </c>
      <c r="C95">
        <v>19</v>
      </c>
      <c r="D95" t="s">
        <v>90</v>
      </c>
      <c r="E95" t="s">
        <v>156</v>
      </c>
      <c r="F95" t="s">
        <v>56</v>
      </c>
      <c r="G95" t="s">
        <v>23</v>
      </c>
      <c r="H95">
        <v>32</v>
      </c>
      <c r="I95">
        <v>2</v>
      </c>
      <c r="J95">
        <v>1</v>
      </c>
      <c r="K95">
        <v>1</v>
      </c>
      <c r="L95">
        <v>3</v>
      </c>
      <c r="M95">
        <v>10</v>
      </c>
      <c r="N95" t="s">
        <v>42</v>
      </c>
      <c r="O95" t="s">
        <v>69</v>
      </c>
      <c r="P95" t="s">
        <v>26</v>
      </c>
      <c r="Q95">
        <v>500000</v>
      </c>
      <c r="R95" t="s">
        <v>143</v>
      </c>
      <c r="S95" t="str">
        <f>LOWER(TRIM(CLEAN(tbl_survey_clean[[#This Row],[Komentar]])))</f>
        <v>akan rekomendasikan ke teman-teman</v>
      </c>
      <c r="T95">
        <f>LEN(tbl_survey_clean[[#This Row],[Komentar_Clean]])</f>
        <v>34</v>
      </c>
      <c r="U95" t="str">
        <f t="shared" si="4"/>
        <v>Lainnya</v>
      </c>
      <c r="V95" t="str">
        <f t="shared" si="5"/>
        <v>Netral</v>
      </c>
      <c r="W95" s="6">
        <v>46092</v>
      </c>
      <c r="X95" t="s">
        <v>365</v>
      </c>
    </row>
    <row r="96" spans="1:24" hidden="1" x14ac:dyDescent="0.3">
      <c r="A96" t="s">
        <v>240</v>
      </c>
      <c r="B96" t="s">
        <v>136</v>
      </c>
      <c r="C96">
        <v>63</v>
      </c>
      <c r="D96" t="s">
        <v>83</v>
      </c>
      <c r="E96" t="s">
        <v>134</v>
      </c>
      <c r="F96" t="s">
        <v>73</v>
      </c>
      <c r="G96" t="s">
        <v>23</v>
      </c>
      <c r="H96">
        <v>26</v>
      </c>
      <c r="I96">
        <v>4</v>
      </c>
      <c r="J96">
        <v>5</v>
      </c>
      <c r="K96">
        <v>3</v>
      </c>
      <c r="L96">
        <v>4</v>
      </c>
      <c r="M96">
        <v>5</v>
      </c>
      <c r="N96" t="s">
        <v>33</v>
      </c>
      <c r="O96" t="s">
        <v>69</v>
      </c>
      <c r="P96" t="s">
        <v>26</v>
      </c>
      <c r="Q96">
        <v>1000000</v>
      </c>
      <c r="R96" t="s">
        <v>66</v>
      </c>
      <c r="S96" t="str">
        <f>LOWER(TRIM(CLEAN(tbl_survey_clean[[#This Row],[Komentar]])))</f>
        <v>susah dihubungi ketika ada masalah</v>
      </c>
      <c r="T96">
        <f>LEN(tbl_survey_clean[[#This Row],[Komentar_Clean]])</f>
        <v>34</v>
      </c>
      <c r="U96" t="str">
        <f t="shared" si="4"/>
        <v>Lainnya</v>
      </c>
      <c r="V96" t="str">
        <f t="shared" si="5"/>
        <v>Negatif</v>
      </c>
      <c r="W96" s="6">
        <v>46186</v>
      </c>
      <c r="X96" t="s">
        <v>368</v>
      </c>
    </row>
    <row r="97" spans="1:24" hidden="1" x14ac:dyDescent="0.3">
      <c r="A97" t="s">
        <v>241</v>
      </c>
      <c r="B97" t="s">
        <v>192</v>
      </c>
      <c r="C97">
        <v>32</v>
      </c>
      <c r="D97" t="s">
        <v>54</v>
      </c>
      <c r="E97" t="s">
        <v>203</v>
      </c>
      <c r="F97" t="s">
        <v>32</v>
      </c>
      <c r="G97" t="s">
        <v>23</v>
      </c>
      <c r="H97">
        <v>25</v>
      </c>
      <c r="I97">
        <v>4</v>
      </c>
      <c r="J97">
        <v>3</v>
      </c>
      <c r="K97">
        <v>5</v>
      </c>
      <c r="L97">
        <v>4</v>
      </c>
      <c r="M97">
        <v>4</v>
      </c>
      <c r="N97" t="s">
        <v>33</v>
      </c>
      <c r="O97" t="s">
        <v>43</v>
      </c>
      <c r="P97" t="s">
        <v>51</v>
      </c>
      <c r="Q97">
        <v>2000000</v>
      </c>
      <c r="R97" t="s">
        <v>66</v>
      </c>
      <c r="S97" t="str">
        <f>LOWER(TRIM(CLEAN(tbl_survey_clean[[#This Row],[Komentar]])))</f>
        <v>susah dihubungi ketika ada masalah</v>
      </c>
      <c r="T97">
        <f>LEN(tbl_survey_clean[[#This Row],[Komentar_Clean]])</f>
        <v>34</v>
      </c>
      <c r="U97" t="str">
        <f t="shared" si="4"/>
        <v>Lainnya</v>
      </c>
      <c r="V97" t="str">
        <f t="shared" si="5"/>
        <v>Negatif</v>
      </c>
      <c r="W97" s="6">
        <v>46199</v>
      </c>
      <c r="X97" t="s">
        <v>368</v>
      </c>
    </row>
    <row r="98" spans="1:24" hidden="1" x14ac:dyDescent="0.3">
      <c r="A98" t="s">
        <v>242</v>
      </c>
      <c r="B98" t="s">
        <v>120</v>
      </c>
      <c r="C98">
        <v>25</v>
      </c>
      <c r="D98" t="s">
        <v>54</v>
      </c>
      <c r="E98" t="s">
        <v>203</v>
      </c>
      <c r="F98" t="s">
        <v>32</v>
      </c>
      <c r="G98" t="s">
        <v>23</v>
      </c>
      <c r="H98">
        <v>35</v>
      </c>
      <c r="I98">
        <v>1</v>
      </c>
      <c r="J98">
        <v>2</v>
      </c>
      <c r="K98">
        <v>3</v>
      </c>
      <c r="L98">
        <v>3</v>
      </c>
      <c r="M98">
        <v>5</v>
      </c>
      <c r="N98" t="s">
        <v>33</v>
      </c>
      <c r="O98" t="s">
        <v>107</v>
      </c>
      <c r="P98" t="s">
        <v>26</v>
      </c>
      <c r="Q98">
        <v>2000000</v>
      </c>
      <c r="R98" t="s">
        <v>57</v>
      </c>
      <c r="S98" t="str">
        <f>LOWER(TRIM(CLEAN(tbl_survey_clean[[#This Row],[Komentar]])))</f>
        <v>pengiriman agak lama dari estimasi</v>
      </c>
      <c r="T98">
        <f>LEN(tbl_survey_clean[[#This Row],[Komentar_Clean]])</f>
        <v>34</v>
      </c>
      <c r="U98" t="str">
        <f t="shared" ref="U98:U129" si="6">IF(ISNUMBER(SEARCH("harga",S98)),"Harga",IF(ISNUMBER(SEARCH("pengiriman",S98)),"Pengiriman",IF(ISNUMBER(SEARCH("pelayanan",S98)),"Pelayanan",IF(ISNUMBER(SEARCH("produk",S98)),"Produk","Lainnya"))))</f>
        <v>Pengiriman</v>
      </c>
      <c r="V98" t="str">
        <f t="shared" ref="V98:V129" si="7">IF(OR(ISNUMBER(SEARCH("puas",S98)),ISNUMBER(SEARCH("bagus",S98)),ISNUMBER(SEARCH("cepat",S98)),ISNUMBER(SEARCH("aman",S98))),"Positif",IF(OR(ISNUMBER(SEARCH("mahal",S98)),ISNUMBER(SEARCH("lama",S98)),ISNUMBER(SEARCH("buruk",S98)),ISNUMBER(SEARCH("susah",S98)),ISNUMBER(SEARCH("ribet",S98)),ISNUMBER(SEARCH("perbaikan",S98))),"Negatif","Netral"))</f>
        <v>Negatif</v>
      </c>
      <c r="W98" s="6">
        <v>46165</v>
      </c>
      <c r="X98" t="s">
        <v>367</v>
      </c>
    </row>
    <row r="99" spans="1:24" x14ac:dyDescent="0.3">
      <c r="A99" t="s">
        <v>243</v>
      </c>
      <c r="B99" t="s">
        <v>29</v>
      </c>
      <c r="C99">
        <v>38</v>
      </c>
      <c r="D99" t="s">
        <v>20</v>
      </c>
      <c r="E99" t="s">
        <v>64</v>
      </c>
      <c r="F99" t="s">
        <v>65</v>
      </c>
      <c r="G99" t="s">
        <v>23</v>
      </c>
      <c r="H99">
        <v>37</v>
      </c>
      <c r="I99">
        <v>2</v>
      </c>
      <c r="J99">
        <v>4</v>
      </c>
      <c r="K99">
        <v>5</v>
      </c>
      <c r="L99">
        <v>2</v>
      </c>
      <c r="M99">
        <v>5</v>
      </c>
      <c r="N99" t="s">
        <v>33</v>
      </c>
      <c r="O99" t="s">
        <v>50</v>
      </c>
      <c r="P99" t="s">
        <v>35</v>
      </c>
      <c r="Q99">
        <v>500000</v>
      </c>
      <c r="R99" t="s">
        <v>36</v>
      </c>
      <c r="S99" t="str">
        <f>LOWER(TRIM(CLEAN(tbl_survey_clean[[#This Row],[Komentar]])))</f>
        <v>harga naik tapi kualitas sama saja</v>
      </c>
      <c r="T99">
        <f>LEN(tbl_survey_clean[[#This Row],[Komentar_Clean]])</f>
        <v>34</v>
      </c>
      <c r="U99" t="str">
        <f t="shared" si="6"/>
        <v>Harga</v>
      </c>
      <c r="V99" t="str">
        <f t="shared" si="7"/>
        <v>Netral</v>
      </c>
      <c r="W99" s="6">
        <v>46079</v>
      </c>
      <c r="X99" t="s">
        <v>364</v>
      </c>
    </row>
    <row r="100" spans="1:24" hidden="1" x14ac:dyDescent="0.3">
      <c r="A100" t="s">
        <v>244</v>
      </c>
      <c r="B100" t="s">
        <v>53</v>
      </c>
      <c r="C100">
        <v>17</v>
      </c>
      <c r="D100" t="s">
        <v>90</v>
      </c>
      <c r="E100" t="s">
        <v>245</v>
      </c>
      <c r="F100" t="s">
        <v>130</v>
      </c>
      <c r="G100" t="s">
        <v>41</v>
      </c>
      <c r="H100">
        <v>38</v>
      </c>
      <c r="I100">
        <v>4</v>
      </c>
      <c r="J100">
        <v>3</v>
      </c>
      <c r="K100">
        <v>2</v>
      </c>
      <c r="L100">
        <v>2</v>
      </c>
      <c r="M100">
        <v>5</v>
      </c>
      <c r="N100" t="s">
        <v>33</v>
      </c>
      <c r="O100" t="s">
        <v>50</v>
      </c>
      <c r="P100" t="s">
        <v>44</v>
      </c>
      <c r="Q100">
        <v>50000</v>
      </c>
      <c r="R100" t="s">
        <v>80</v>
      </c>
      <c r="S100" t="str">
        <f>LOWER(TRIM(CLEAN(tbl_survey_clean[[#This Row],[Komentar]])))</f>
        <v>proses return barang terlalu ribet</v>
      </c>
      <c r="T100">
        <f>LEN(tbl_survey_clean[[#This Row],[Komentar_Clean]])</f>
        <v>34</v>
      </c>
      <c r="U100" t="str">
        <f t="shared" si="6"/>
        <v>Lainnya</v>
      </c>
      <c r="V100" t="str">
        <f t="shared" si="7"/>
        <v>Negatif</v>
      </c>
      <c r="W100" s="6">
        <v>46198</v>
      </c>
      <c r="X100" t="s">
        <v>368</v>
      </c>
    </row>
    <row r="101" spans="1:24" hidden="1" x14ac:dyDescent="0.3">
      <c r="A101" t="s">
        <v>246</v>
      </c>
      <c r="B101" t="s">
        <v>247</v>
      </c>
      <c r="C101">
        <v>20</v>
      </c>
      <c r="D101" t="s">
        <v>90</v>
      </c>
      <c r="E101" t="s">
        <v>60</v>
      </c>
      <c r="F101" t="s">
        <v>61</v>
      </c>
      <c r="G101" t="s">
        <v>23</v>
      </c>
      <c r="H101">
        <v>27</v>
      </c>
      <c r="I101">
        <v>3</v>
      </c>
      <c r="J101">
        <v>5</v>
      </c>
      <c r="K101">
        <v>5</v>
      </c>
      <c r="L101">
        <v>2</v>
      </c>
      <c r="M101">
        <v>3</v>
      </c>
      <c r="N101" t="s">
        <v>33</v>
      </c>
      <c r="O101" t="s">
        <v>25</v>
      </c>
      <c r="P101" t="s">
        <v>26</v>
      </c>
      <c r="Q101">
        <v>5000000</v>
      </c>
      <c r="R101" t="s">
        <v>121</v>
      </c>
      <c r="S101" t="str">
        <f>LOWER(TRIM(CLEAN(tbl_survey_clean[[#This Row],[Komentar]])))</f>
        <v>ada beberapa produk yang tidak sesuai foto</v>
      </c>
      <c r="T101">
        <f>LEN(tbl_survey_clean[[#This Row],[Komentar_Clean]])</f>
        <v>42</v>
      </c>
      <c r="U101" t="str">
        <f t="shared" si="6"/>
        <v>Produk</v>
      </c>
      <c r="V101" t="str">
        <f t="shared" si="7"/>
        <v>Netral</v>
      </c>
      <c r="W101" s="6">
        <v>46106</v>
      </c>
      <c r="X101" t="s">
        <v>365</v>
      </c>
    </row>
    <row r="102" spans="1:24" hidden="1" x14ac:dyDescent="0.3">
      <c r="A102" t="s">
        <v>248</v>
      </c>
      <c r="B102" t="s">
        <v>215</v>
      </c>
      <c r="C102">
        <v>20</v>
      </c>
      <c r="D102" t="s">
        <v>90</v>
      </c>
      <c r="E102" t="s">
        <v>174</v>
      </c>
      <c r="F102" t="s">
        <v>32</v>
      </c>
      <c r="G102" t="s">
        <v>41</v>
      </c>
      <c r="H102">
        <v>30</v>
      </c>
      <c r="I102">
        <v>4</v>
      </c>
      <c r="J102">
        <v>5</v>
      </c>
      <c r="K102">
        <v>4</v>
      </c>
      <c r="L102">
        <v>2</v>
      </c>
      <c r="M102">
        <v>10</v>
      </c>
      <c r="N102" t="s">
        <v>42</v>
      </c>
      <c r="O102" t="s">
        <v>43</v>
      </c>
      <c r="P102" t="s">
        <v>108</v>
      </c>
      <c r="Q102">
        <v>100000</v>
      </c>
      <c r="R102" t="s">
        <v>126</v>
      </c>
      <c r="S102" t="str">
        <f>LOWER(TRIM(CLEAN(tbl_survey_clean[[#This Row],[Komentar]])))</f>
        <v>sudah berlangganan 2 tahun, selalu puas</v>
      </c>
      <c r="T102">
        <f>LEN(tbl_survey_clean[[#This Row],[Komentar_Clean]])</f>
        <v>39</v>
      </c>
      <c r="U102" t="str">
        <f t="shared" si="6"/>
        <v>Lainnya</v>
      </c>
      <c r="V102" t="str">
        <f t="shared" si="7"/>
        <v>Positif</v>
      </c>
      <c r="W102" s="6">
        <v>46037</v>
      </c>
      <c r="X102" t="s">
        <v>363</v>
      </c>
    </row>
    <row r="103" spans="1:24" x14ac:dyDescent="0.3">
      <c r="A103" t="s">
        <v>249</v>
      </c>
      <c r="B103" t="s">
        <v>199</v>
      </c>
      <c r="C103">
        <v>63</v>
      </c>
      <c r="D103" t="s">
        <v>83</v>
      </c>
      <c r="E103" t="s">
        <v>118</v>
      </c>
      <c r="F103" t="s">
        <v>79</v>
      </c>
      <c r="G103" t="s">
        <v>23</v>
      </c>
      <c r="H103">
        <v>8</v>
      </c>
      <c r="I103">
        <v>1</v>
      </c>
      <c r="J103">
        <v>4</v>
      </c>
      <c r="K103">
        <v>5</v>
      </c>
      <c r="L103">
        <v>3</v>
      </c>
      <c r="M103">
        <v>2</v>
      </c>
      <c r="N103" t="s">
        <v>33</v>
      </c>
      <c r="O103" t="s">
        <v>43</v>
      </c>
      <c r="P103" t="s">
        <v>108</v>
      </c>
      <c r="Q103">
        <v>50000</v>
      </c>
      <c r="R103" t="s">
        <v>121</v>
      </c>
      <c r="S103" t="str">
        <f>LOWER(TRIM(CLEAN(tbl_survey_clean[[#This Row],[Komentar]])))</f>
        <v>ada beberapa produk yang tidak sesuai foto</v>
      </c>
      <c r="T103">
        <f>LEN(tbl_survey_clean[[#This Row],[Komentar_Clean]])</f>
        <v>42</v>
      </c>
      <c r="U103" t="str">
        <f t="shared" si="6"/>
        <v>Produk</v>
      </c>
      <c r="V103" t="str">
        <f t="shared" si="7"/>
        <v>Netral</v>
      </c>
      <c r="W103" s="6">
        <v>46081</v>
      </c>
      <c r="X103" t="s">
        <v>364</v>
      </c>
    </row>
    <row r="104" spans="1:24" hidden="1" x14ac:dyDescent="0.3">
      <c r="A104" t="s">
        <v>250</v>
      </c>
      <c r="B104" t="s">
        <v>86</v>
      </c>
      <c r="C104">
        <v>27</v>
      </c>
      <c r="D104" t="s">
        <v>54</v>
      </c>
      <c r="E104" t="s">
        <v>55</v>
      </c>
      <c r="F104" t="s">
        <v>56</v>
      </c>
      <c r="G104" t="s">
        <v>23</v>
      </c>
      <c r="H104">
        <v>17</v>
      </c>
      <c r="I104">
        <v>2</v>
      </c>
      <c r="J104">
        <v>3</v>
      </c>
      <c r="K104">
        <v>3</v>
      </c>
      <c r="L104">
        <v>2</v>
      </c>
      <c r="M104">
        <v>6</v>
      </c>
      <c r="N104" t="s">
        <v>33</v>
      </c>
      <c r="O104" t="s">
        <v>43</v>
      </c>
      <c r="P104" t="s">
        <v>44</v>
      </c>
      <c r="Q104">
        <v>250000</v>
      </c>
      <c r="R104" t="s">
        <v>186</v>
      </c>
      <c r="S104" t="str">
        <f>LOWER(TRIM(CLEAN(tbl_survey_clean[[#This Row],[Komentar]])))</f>
        <v>oke lah, bisa dicoba lagi</v>
      </c>
      <c r="T104">
        <f>LEN(tbl_survey_clean[[#This Row],[Komentar_Clean]])</f>
        <v>25</v>
      </c>
      <c r="U104" t="str">
        <f t="shared" si="6"/>
        <v>Lainnya</v>
      </c>
      <c r="V104" t="str">
        <f t="shared" si="7"/>
        <v>Netral</v>
      </c>
      <c r="W104" s="6">
        <v>46031</v>
      </c>
      <c r="X104" t="s">
        <v>363</v>
      </c>
    </row>
    <row r="105" spans="1:24" hidden="1" x14ac:dyDescent="0.3">
      <c r="A105" t="s">
        <v>251</v>
      </c>
      <c r="B105" t="s">
        <v>47</v>
      </c>
      <c r="C105">
        <v>58</v>
      </c>
      <c r="D105" t="s">
        <v>83</v>
      </c>
      <c r="E105" t="s">
        <v>105</v>
      </c>
      <c r="F105" t="s">
        <v>106</v>
      </c>
      <c r="G105" t="s">
        <v>23</v>
      </c>
      <c r="H105">
        <v>10</v>
      </c>
      <c r="I105">
        <v>2</v>
      </c>
      <c r="J105">
        <v>1</v>
      </c>
      <c r="K105">
        <v>5</v>
      </c>
      <c r="L105">
        <v>4</v>
      </c>
      <c r="M105">
        <v>5</v>
      </c>
      <c r="N105" t="s">
        <v>33</v>
      </c>
      <c r="O105" t="s">
        <v>50</v>
      </c>
      <c r="P105" t="s">
        <v>35</v>
      </c>
      <c r="Q105">
        <v>100000</v>
      </c>
      <c r="R105" t="s">
        <v>80</v>
      </c>
      <c r="S105" t="str">
        <f>LOWER(TRIM(CLEAN(tbl_survey_clean[[#This Row],[Komentar]])))</f>
        <v>proses return barang terlalu ribet</v>
      </c>
      <c r="T105">
        <f>LEN(tbl_survey_clean[[#This Row],[Komentar_Clean]])</f>
        <v>34</v>
      </c>
      <c r="U105" t="str">
        <f t="shared" si="6"/>
        <v>Lainnya</v>
      </c>
      <c r="V105" t="str">
        <f t="shared" si="7"/>
        <v>Negatif</v>
      </c>
      <c r="W105" s="6">
        <v>46103</v>
      </c>
      <c r="X105" t="s">
        <v>365</v>
      </c>
    </row>
    <row r="106" spans="1:24" hidden="1" x14ac:dyDescent="0.3">
      <c r="A106" t="s">
        <v>252</v>
      </c>
      <c r="B106" t="s">
        <v>110</v>
      </c>
      <c r="C106">
        <v>42</v>
      </c>
      <c r="D106" t="s">
        <v>20</v>
      </c>
      <c r="E106" t="s">
        <v>142</v>
      </c>
      <c r="F106" t="s">
        <v>96</v>
      </c>
      <c r="G106" t="s">
        <v>41</v>
      </c>
      <c r="H106">
        <v>8</v>
      </c>
      <c r="I106">
        <v>3</v>
      </c>
      <c r="J106">
        <v>4</v>
      </c>
      <c r="K106">
        <v>2</v>
      </c>
      <c r="L106">
        <v>2</v>
      </c>
      <c r="M106">
        <v>7</v>
      </c>
      <c r="N106" t="s">
        <v>24</v>
      </c>
      <c r="O106" t="s">
        <v>69</v>
      </c>
      <c r="P106" t="s">
        <v>26</v>
      </c>
      <c r="Q106">
        <v>250000</v>
      </c>
      <c r="R106" t="s">
        <v>84</v>
      </c>
      <c r="S106" t="str">
        <f>LOWER(TRIM(CLEAN(tbl_survey_clean[[#This Row],[Komentar]])))</f>
        <v>standar saja, tidak ada yang istimewa</v>
      </c>
      <c r="T106">
        <f>LEN(tbl_survey_clean[[#This Row],[Komentar_Clean]])</f>
        <v>37</v>
      </c>
      <c r="U106" t="str">
        <f t="shared" si="6"/>
        <v>Lainnya</v>
      </c>
      <c r="V106" t="str">
        <f t="shared" si="7"/>
        <v>Netral</v>
      </c>
      <c r="W106" s="6">
        <v>46125</v>
      </c>
      <c r="X106" t="s">
        <v>366</v>
      </c>
    </row>
    <row r="107" spans="1:24" hidden="1" x14ac:dyDescent="0.3">
      <c r="A107" t="s">
        <v>253</v>
      </c>
      <c r="B107" t="s">
        <v>138</v>
      </c>
      <c r="C107">
        <v>45</v>
      </c>
      <c r="D107" t="s">
        <v>30</v>
      </c>
      <c r="E107" t="s">
        <v>100</v>
      </c>
      <c r="F107" t="s">
        <v>61</v>
      </c>
      <c r="G107" t="s">
        <v>41</v>
      </c>
      <c r="H107">
        <v>34</v>
      </c>
      <c r="I107">
        <v>5</v>
      </c>
      <c r="J107">
        <v>1</v>
      </c>
      <c r="K107">
        <v>1</v>
      </c>
      <c r="L107">
        <v>3</v>
      </c>
      <c r="M107">
        <v>5</v>
      </c>
      <c r="N107" t="s">
        <v>33</v>
      </c>
      <c r="O107" t="s">
        <v>43</v>
      </c>
      <c r="P107" t="s">
        <v>35</v>
      </c>
      <c r="Q107">
        <v>2000000</v>
      </c>
      <c r="R107" t="s">
        <v>80</v>
      </c>
      <c r="S107" t="str">
        <f>LOWER(TRIM(CLEAN(tbl_survey_clean[[#This Row],[Komentar]])))</f>
        <v>proses return barang terlalu ribet</v>
      </c>
      <c r="T107">
        <f>LEN(tbl_survey_clean[[#This Row],[Komentar_Clean]])</f>
        <v>34</v>
      </c>
      <c r="U107" t="str">
        <f t="shared" si="6"/>
        <v>Lainnya</v>
      </c>
      <c r="V107" t="str">
        <f t="shared" si="7"/>
        <v>Negatif</v>
      </c>
      <c r="W107" s="6">
        <v>46091</v>
      </c>
      <c r="X107" t="s">
        <v>365</v>
      </c>
    </row>
    <row r="108" spans="1:24" hidden="1" x14ac:dyDescent="0.3">
      <c r="A108" t="s">
        <v>254</v>
      </c>
      <c r="B108" t="s">
        <v>77</v>
      </c>
      <c r="C108">
        <v>63</v>
      </c>
      <c r="D108" t="s">
        <v>83</v>
      </c>
      <c r="E108" t="s">
        <v>105</v>
      </c>
      <c r="F108" t="s">
        <v>106</v>
      </c>
      <c r="G108" t="s">
        <v>41</v>
      </c>
      <c r="H108">
        <v>43</v>
      </c>
      <c r="I108">
        <v>2</v>
      </c>
      <c r="J108">
        <v>1</v>
      </c>
      <c r="K108">
        <v>3</v>
      </c>
      <c r="L108">
        <v>2</v>
      </c>
      <c r="M108">
        <v>5</v>
      </c>
      <c r="N108" t="s">
        <v>33</v>
      </c>
      <c r="O108" t="s">
        <v>50</v>
      </c>
      <c r="P108" t="s">
        <v>44</v>
      </c>
      <c r="Q108">
        <v>5000000</v>
      </c>
      <c r="R108" t="s">
        <v>66</v>
      </c>
      <c r="S108" t="str">
        <f>LOWER(TRIM(CLEAN(tbl_survey_clean[[#This Row],[Komentar]])))</f>
        <v>susah dihubungi ketika ada masalah</v>
      </c>
      <c r="T108">
        <f>LEN(tbl_survey_clean[[#This Row],[Komentar_Clean]])</f>
        <v>34</v>
      </c>
      <c r="U108" t="str">
        <f t="shared" si="6"/>
        <v>Lainnya</v>
      </c>
      <c r="V108" t="str">
        <f t="shared" si="7"/>
        <v>Negatif</v>
      </c>
      <c r="W108" s="6">
        <v>46039</v>
      </c>
      <c r="X108" t="s">
        <v>363</v>
      </c>
    </row>
    <row r="109" spans="1:24" x14ac:dyDescent="0.3">
      <c r="A109" t="s">
        <v>255</v>
      </c>
      <c r="B109" t="s">
        <v>112</v>
      </c>
      <c r="C109">
        <v>31</v>
      </c>
      <c r="D109" t="s">
        <v>54</v>
      </c>
      <c r="E109" t="s">
        <v>142</v>
      </c>
      <c r="F109" t="s">
        <v>96</v>
      </c>
      <c r="G109" t="s">
        <v>23</v>
      </c>
      <c r="H109">
        <v>41</v>
      </c>
      <c r="I109">
        <v>5</v>
      </c>
      <c r="J109">
        <v>1</v>
      </c>
      <c r="K109">
        <v>2</v>
      </c>
      <c r="L109">
        <v>4</v>
      </c>
      <c r="M109">
        <v>8</v>
      </c>
      <c r="N109" t="s">
        <v>24</v>
      </c>
      <c r="O109" t="s">
        <v>34</v>
      </c>
      <c r="P109" t="s">
        <v>44</v>
      </c>
      <c r="Q109">
        <v>2000000</v>
      </c>
      <c r="R109" t="s">
        <v>126</v>
      </c>
      <c r="S109" t="str">
        <f>LOWER(TRIM(CLEAN(tbl_survey_clean[[#This Row],[Komentar]])))</f>
        <v>sudah berlangganan 2 tahun, selalu puas</v>
      </c>
      <c r="T109">
        <f>LEN(tbl_survey_clean[[#This Row],[Komentar_Clean]])</f>
        <v>39</v>
      </c>
      <c r="U109" t="str">
        <f t="shared" si="6"/>
        <v>Lainnya</v>
      </c>
      <c r="V109" t="str">
        <f t="shared" si="7"/>
        <v>Positif</v>
      </c>
      <c r="W109" s="6">
        <v>46077</v>
      </c>
      <c r="X109" t="s">
        <v>364</v>
      </c>
    </row>
    <row r="110" spans="1:24" hidden="1" x14ac:dyDescent="0.3">
      <c r="A110" t="s">
        <v>256</v>
      </c>
      <c r="B110" t="s">
        <v>128</v>
      </c>
      <c r="C110">
        <v>29</v>
      </c>
      <c r="D110" t="s">
        <v>54</v>
      </c>
      <c r="E110" t="s">
        <v>31</v>
      </c>
      <c r="F110" t="s">
        <v>32</v>
      </c>
      <c r="G110" t="s">
        <v>41</v>
      </c>
      <c r="H110">
        <v>26</v>
      </c>
      <c r="I110">
        <v>4</v>
      </c>
      <c r="J110">
        <v>5</v>
      </c>
      <c r="K110">
        <v>3</v>
      </c>
      <c r="L110">
        <v>3</v>
      </c>
      <c r="M110">
        <v>2</v>
      </c>
      <c r="N110" t="s">
        <v>33</v>
      </c>
      <c r="O110" t="s">
        <v>107</v>
      </c>
      <c r="P110" t="s">
        <v>35</v>
      </c>
      <c r="Q110">
        <v>100000</v>
      </c>
      <c r="R110" t="s">
        <v>87</v>
      </c>
      <c r="S110" t="str">
        <f>LOWER(TRIM(CLEAN(tbl_survey_clean[[#This Row],[Komentar]])))</f>
        <v>perlu peningkatan pada packaging</v>
      </c>
      <c r="T110">
        <f>LEN(tbl_survey_clean[[#This Row],[Komentar_Clean]])</f>
        <v>32</v>
      </c>
      <c r="U110" t="str">
        <f t="shared" si="6"/>
        <v>Lainnya</v>
      </c>
      <c r="V110" t="str">
        <f t="shared" si="7"/>
        <v>Netral</v>
      </c>
      <c r="W110" s="6">
        <v>46168</v>
      </c>
      <c r="X110" t="s">
        <v>367</v>
      </c>
    </row>
    <row r="111" spans="1:24" hidden="1" x14ac:dyDescent="0.3">
      <c r="A111" t="s">
        <v>257</v>
      </c>
      <c r="B111" t="s">
        <v>114</v>
      </c>
      <c r="C111">
        <v>32</v>
      </c>
      <c r="D111" t="s">
        <v>54</v>
      </c>
      <c r="E111" t="s">
        <v>142</v>
      </c>
      <c r="F111" t="s">
        <v>96</v>
      </c>
      <c r="G111" t="s">
        <v>41</v>
      </c>
      <c r="H111">
        <v>44</v>
      </c>
      <c r="I111">
        <v>3</v>
      </c>
      <c r="J111">
        <v>2</v>
      </c>
      <c r="K111">
        <v>3</v>
      </c>
      <c r="L111">
        <v>5</v>
      </c>
      <c r="M111">
        <v>5</v>
      </c>
      <c r="N111" t="s">
        <v>33</v>
      </c>
      <c r="O111" t="s">
        <v>34</v>
      </c>
      <c r="P111" t="s">
        <v>35</v>
      </c>
      <c r="Q111">
        <v>100000</v>
      </c>
      <c r="R111" t="s">
        <v>80</v>
      </c>
      <c r="S111" t="str">
        <f>LOWER(TRIM(CLEAN(tbl_survey_clean[[#This Row],[Komentar]])))</f>
        <v>proses return barang terlalu ribet</v>
      </c>
      <c r="T111">
        <f>LEN(tbl_survey_clean[[#This Row],[Komentar_Clean]])</f>
        <v>34</v>
      </c>
      <c r="U111" t="str">
        <f t="shared" si="6"/>
        <v>Lainnya</v>
      </c>
      <c r="V111" t="str">
        <f t="shared" si="7"/>
        <v>Negatif</v>
      </c>
      <c r="W111" s="6">
        <v>46103</v>
      </c>
      <c r="X111" t="s">
        <v>365</v>
      </c>
    </row>
    <row r="112" spans="1:24" x14ac:dyDescent="0.3">
      <c r="A112" t="s">
        <v>258</v>
      </c>
      <c r="B112" t="s">
        <v>259</v>
      </c>
      <c r="C112">
        <v>45</v>
      </c>
      <c r="D112" t="s">
        <v>30</v>
      </c>
      <c r="E112" t="s">
        <v>118</v>
      </c>
      <c r="F112" t="s">
        <v>79</v>
      </c>
      <c r="G112" t="s">
        <v>23</v>
      </c>
      <c r="H112">
        <v>12</v>
      </c>
      <c r="I112">
        <v>2</v>
      </c>
      <c r="J112">
        <v>5</v>
      </c>
      <c r="K112">
        <v>2</v>
      </c>
      <c r="L112">
        <v>5</v>
      </c>
      <c r="M112">
        <v>9</v>
      </c>
      <c r="N112" t="s">
        <v>42</v>
      </c>
      <c r="O112" t="s">
        <v>50</v>
      </c>
      <c r="P112" t="s">
        <v>35</v>
      </c>
      <c r="Q112">
        <v>50000</v>
      </c>
      <c r="R112" t="s">
        <v>143</v>
      </c>
      <c r="S112" t="str">
        <f>LOWER(TRIM(CLEAN(tbl_survey_clean[[#This Row],[Komentar]])))</f>
        <v>akan rekomendasikan ke teman-teman</v>
      </c>
      <c r="T112">
        <f>LEN(tbl_survey_clean[[#This Row],[Komentar_Clean]])</f>
        <v>34</v>
      </c>
      <c r="U112" t="str">
        <f t="shared" si="6"/>
        <v>Lainnya</v>
      </c>
      <c r="V112" t="str">
        <f t="shared" si="7"/>
        <v>Netral</v>
      </c>
      <c r="W112" s="6">
        <v>46077</v>
      </c>
      <c r="X112" t="s">
        <v>364</v>
      </c>
    </row>
    <row r="113" spans="1:24" hidden="1" x14ac:dyDescent="0.3">
      <c r="A113" t="s">
        <v>260</v>
      </c>
      <c r="B113" t="s">
        <v>261</v>
      </c>
      <c r="C113">
        <v>31</v>
      </c>
      <c r="D113" t="s">
        <v>54</v>
      </c>
      <c r="E113" t="s">
        <v>39</v>
      </c>
      <c r="F113" t="s">
        <v>40</v>
      </c>
      <c r="G113" t="s">
        <v>23</v>
      </c>
      <c r="H113">
        <v>23</v>
      </c>
      <c r="I113">
        <v>2</v>
      </c>
      <c r="J113">
        <v>2</v>
      </c>
      <c r="K113">
        <v>4</v>
      </c>
      <c r="L113">
        <v>4</v>
      </c>
      <c r="M113">
        <v>1</v>
      </c>
      <c r="N113" t="s">
        <v>33</v>
      </c>
      <c r="O113" t="s">
        <v>43</v>
      </c>
      <c r="P113" t="s">
        <v>44</v>
      </c>
      <c r="Q113">
        <v>50000</v>
      </c>
      <c r="R113" t="s">
        <v>87</v>
      </c>
      <c r="S113" t="str">
        <f>LOWER(TRIM(CLEAN(tbl_survey_clean[[#This Row],[Komentar]])))</f>
        <v>perlu peningkatan pada packaging</v>
      </c>
      <c r="T113">
        <f>LEN(tbl_survey_clean[[#This Row],[Komentar_Clean]])</f>
        <v>32</v>
      </c>
      <c r="U113" t="str">
        <f t="shared" si="6"/>
        <v>Lainnya</v>
      </c>
      <c r="V113" t="str">
        <f t="shared" si="7"/>
        <v>Netral</v>
      </c>
      <c r="W113" s="6">
        <v>46190</v>
      </c>
      <c r="X113" t="s">
        <v>368</v>
      </c>
    </row>
    <row r="114" spans="1:24" hidden="1" x14ac:dyDescent="0.3">
      <c r="A114" t="s">
        <v>262</v>
      </c>
      <c r="B114" t="s">
        <v>183</v>
      </c>
      <c r="C114">
        <v>19</v>
      </c>
      <c r="D114" t="s">
        <v>90</v>
      </c>
      <c r="E114" t="s">
        <v>152</v>
      </c>
      <c r="F114" t="s">
        <v>65</v>
      </c>
      <c r="G114" t="s">
        <v>41</v>
      </c>
      <c r="H114">
        <v>33</v>
      </c>
      <c r="I114">
        <v>5</v>
      </c>
      <c r="J114">
        <v>2</v>
      </c>
      <c r="K114">
        <v>4</v>
      </c>
      <c r="L114">
        <v>5</v>
      </c>
      <c r="M114">
        <v>7</v>
      </c>
      <c r="N114" t="s">
        <v>24</v>
      </c>
      <c r="O114" t="s">
        <v>50</v>
      </c>
      <c r="P114" t="s">
        <v>44</v>
      </c>
      <c r="Q114">
        <v>5000000</v>
      </c>
      <c r="R114" t="s">
        <v>84</v>
      </c>
      <c r="S114" t="str">
        <f>LOWER(TRIM(CLEAN(tbl_survey_clean[[#This Row],[Komentar]])))</f>
        <v>standar saja, tidak ada yang istimewa</v>
      </c>
      <c r="T114">
        <f>LEN(tbl_survey_clean[[#This Row],[Komentar_Clean]])</f>
        <v>37</v>
      </c>
      <c r="U114" t="str">
        <f t="shared" si="6"/>
        <v>Lainnya</v>
      </c>
      <c r="V114" t="str">
        <f t="shared" si="7"/>
        <v>Netral</v>
      </c>
      <c r="W114" s="6">
        <v>46150</v>
      </c>
      <c r="X114" t="s">
        <v>367</v>
      </c>
    </row>
    <row r="115" spans="1:24" hidden="1" x14ac:dyDescent="0.3">
      <c r="A115" t="s">
        <v>263</v>
      </c>
      <c r="B115" t="s">
        <v>217</v>
      </c>
      <c r="C115">
        <v>48</v>
      </c>
      <c r="D115" t="s">
        <v>30</v>
      </c>
      <c r="E115" t="s">
        <v>129</v>
      </c>
      <c r="F115" t="s">
        <v>130</v>
      </c>
      <c r="G115" t="s">
        <v>41</v>
      </c>
      <c r="H115">
        <v>36</v>
      </c>
      <c r="I115">
        <v>1</v>
      </c>
      <c r="J115">
        <v>2</v>
      </c>
      <c r="K115">
        <v>4</v>
      </c>
      <c r="L115">
        <v>1</v>
      </c>
      <c r="M115">
        <v>5</v>
      </c>
      <c r="N115" t="s">
        <v>33</v>
      </c>
      <c r="O115" t="s">
        <v>69</v>
      </c>
      <c r="P115" t="s">
        <v>44</v>
      </c>
      <c r="Q115">
        <v>100000</v>
      </c>
      <c r="R115" t="s">
        <v>80</v>
      </c>
      <c r="S115" t="str">
        <f>LOWER(TRIM(CLEAN(tbl_survey_clean[[#This Row],[Komentar]])))</f>
        <v>proses return barang terlalu ribet</v>
      </c>
      <c r="T115">
        <f>LEN(tbl_survey_clean[[#This Row],[Komentar_Clean]])</f>
        <v>34</v>
      </c>
      <c r="U115" t="str">
        <f t="shared" si="6"/>
        <v>Lainnya</v>
      </c>
      <c r="V115" t="str">
        <f t="shared" si="7"/>
        <v>Negatif</v>
      </c>
      <c r="W115" s="6">
        <v>46124</v>
      </c>
      <c r="X115" t="s">
        <v>366</v>
      </c>
    </row>
    <row r="116" spans="1:24" hidden="1" x14ac:dyDescent="0.3">
      <c r="A116" t="s">
        <v>264</v>
      </c>
      <c r="B116" t="s">
        <v>47</v>
      </c>
      <c r="C116">
        <v>59</v>
      </c>
      <c r="D116" t="s">
        <v>83</v>
      </c>
      <c r="E116" t="s">
        <v>60</v>
      </c>
      <c r="F116" t="s">
        <v>61</v>
      </c>
      <c r="G116" t="s">
        <v>23</v>
      </c>
      <c r="H116">
        <v>13</v>
      </c>
      <c r="I116">
        <v>4</v>
      </c>
      <c r="J116">
        <v>3</v>
      </c>
      <c r="K116">
        <v>5</v>
      </c>
      <c r="L116">
        <v>3</v>
      </c>
      <c r="M116">
        <v>6</v>
      </c>
      <c r="N116" t="s">
        <v>33</v>
      </c>
      <c r="O116" t="s">
        <v>34</v>
      </c>
      <c r="P116" t="s">
        <v>35</v>
      </c>
      <c r="Q116">
        <v>250000</v>
      </c>
      <c r="R116" t="s">
        <v>186</v>
      </c>
      <c r="S116" t="str">
        <f>LOWER(TRIM(CLEAN(tbl_survey_clean[[#This Row],[Komentar]])))</f>
        <v>oke lah, bisa dicoba lagi</v>
      </c>
      <c r="T116">
        <f>LEN(tbl_survey_clean[[#This Row],[Komentar_Clean]])</f>
        <v>25</v>
      </c>
      <c r="U116" t="str">
        <f t="shared" si="6"/>
        <v>Lainnya</v>
      </c>
      <c r="V116" t="str">
        <f t="shared" si="7"/>
        <v>Netral</v>
      </c>
      <c r="W116" s="6">
        <v>46187</v>
      </c>
      <c r="X116" t="s">
        <v>368</v>
      </c>
    </row>
    <row r="117" spans="1:24" hidden="1" x14ac:dyDescent="0.3">
      <c r="A117" t="s">
        <v>265</v>
      </c>
      <c r="B117" t="s">
        <v>192</v>
      </c>
      <c r="C117">
        <v>61</v>
      </c>
      <c r="D117" t="s">
        <v>83</v>
      </c>
      <c r="E117" t="s">
        <v>31</v>
      </c>
      <c r="F117" t="s">
        <v>32</v>
      </c>
      <c r="G117" t="s">
        <v>23</v>
      </c>
      <c r="H117">
        <v>7</v>
      </c>
      <c r="I117">
        <v>2</v>
      </c>
      <c r="J117">
        <v>2</v>
      </c>
      <c r="K117">
        <v>2</v>
      </c>
      <c r="L117">
        <v>5</v>
      </c>
      <c r="M117">
        <v>0</v>
      </c>
      <c r="N117" t="s">
        <v>33</v>
      </c>
      <c r="O117" t="s">
        <v>25</v>
      </c>
      <c r="P117" t="s">
        <v>35</v>
      </c>
      <c r="Q117">
        <v>5000000</v>
      </c>
      <c r="R117" t="s">
        <v>80</v>
      </c>
      <c r="S117" t="str">
        <f>LOWER(TRIM(CLEAN(tbl_survey_clean[[#This Row],[Komentar]])))</f>
        <v>proses return barang terlalu ribet</v>
      </c>
      <c r="T117">
        <f>LEN(tbl_survey_clean[[#This Row],[Komentar_Clean]])</f>
        <v>34</v>
      </c>
      <c r="U117" t="str">
        <f t="shared" si="6"/>
        <v>Lainnya</v>
      </c>
      <c r="V117" t="str">
        <f t="shared" si="7"/>
        <v>Negatif</v>
      </c>
      <c r="W117" s="6">
        <v>46140</v>
      </c>
      <c r="X117" t="s">
        <v>366</v>
      </c>
    </row>
    <row r="118" spans="1:24" x14ac:dyDescent="0.3">
      <c r="A118" t="s">
        <v>266</v>
      </c>
      <c r="B118" t="s">
        <v>145</v>
      </c>
      <c r="C118">
        <v>59</v>
      </c>
      <c r="D118" t="s">
        <v>83</v>
      </c>
      <c r="E118" t="s">
        <v>91</v>
      </c>
      <c r="F118" t="s">
        <v>73</v>
      </c>
      <c r="G118" t="s">
        <v>23</v>
      </c>
      <c r="H118">
        <v>4</v>
      </c>
      <c r="I118">
        <v>5</v>
      </c>
      <c r="J118">
        <v>2</v>
      </c>
      <c r="K118">
        <v>2</v>
      </c>
      <c r="L118">
        <v>2</v>
      </c>
      <c r="M118">
        <v>5</v>
      </c>
      <c r="N118" t="s">
        <v>33</v>
      </c>
      <c r="O118" t="s">
        <v>34</v>
      </c>
      <c r="P118" t="s">
        <v>26</v>
      </c>
      <c r="Q118">
        <v>500000</v>
      </c>
      <c r="R118" t="s">
        <v>66</v>
      </c>
      <c r="S118" t="str">
        <f>LOWER(TRIM(CLEAN(tbl_survey_clean[[#This Row],[Komentar]])))</f>
        <v>susah dihubungi ketika ada masalah</v>
      </c>
      <c r="T118">
        <f>LEN(tbl_survey_clean[[#This Row],[Komentar_Clean]])</f>
        <v>34</v>
      </c>
      <c r="U118" t="str">
        <f t="shared" si="6"/>
        <v>Lainnya</v>
      </c>
      <c r="V118" t="str">
        <f t="shared" si="7"/>
        <v>Negatif</v>
      </c>
      <c r="W118" s="6">
        <v>46059</v>
      </c>
      <c r="X118" t="s">
        <v>364</v>
      </c>
    </row>
    <row r="119" spans="1:24" hidden="1" x14ac:dyDescent="0.3">
      <c r="A119" t="s">
        <v>267</v>
      </c>
      <c r="B119" t="s">
        <v>53</v>
      </c>
      <c r="C119">
        <v>41</v>
      </c>
      <c r="D119" t="s">
        <v>20</v>
      </c>
      <c r="E119" t="s">
        <v>171</v>
      </c>
      <c r="F119" t="s">
        <v>79</v>
      </c>
      <c r="G119" t="s">
        <v>23</v>
      </c>
      <c r="H119">
        <v>35</v>
      </c>
      <c r="I119">
        <v>2</v>
      </c>
      <c r="J119">
        <v>4</v>
      </c>
      <c r="K119">
        <v>2</v>
      </c>
      <c r="L119">
        <v>1</v>
      </c>
      <c r="M119">
        <v>10</v>
      </c>
      <c r="N119" t="s">
        <v>42</v>
      </c>
      <c r="O119" t="s">
        <v>69</v>
      </c>
      <c r="P119" t="s">
        <v>51</v>
      </c>
      <c r="Q119">
        <v>50000</v>
      </c>
      <c r="R119" t="s">
        <v>62</v>
      </c>
      <c r="S119" t="str">
        <f>LOWER(TRIM(CLEAN(tbl_survey_clean[[#This Row],[Komentar]])))</f>
        <v>produk sangat berkualitas, saya puas!</v>
      </c>
      <c r="T119">
        <f>LEN(tbl_survey_clean[[#This Row],[Komentar_Clean]])</f>
        <v>37</v>
      </c>
      <c r="U119" t="str">
        <f t="shared" si="6"/>
        <v>Produk</v>
      </c>
      <c r="V119" t="str">
        <f t="shared" si="7"/>
        <v>Positif</v>
      </c>
      <c r="W119" s="6">
        <v>46090</v>
      </c>
      <c r="X119" t="s">
        <v>365</v>
      </c>
    </row>
    <row r="120" spans="1:24" x14ac:dyDescent="0.3">
      <c r="A120" t="s">
        <v>268</v>
      </c>
      <c r="B120" t="s">
        <v>217</v>
      </c>
      <c r="C120">
        <v>32</v>
      </c>
      <c r="D120" t="s">
        <v>54</v>
      </c>
      <c r="E120" t="s">
        <v>156</v>
      </c>
      <c r="F120" t="s">
        <v>56</v>
      </c>
      <c r="G120" t="s">
        <v>23</v>
      </c>
      <c r="H120">
        <v>8</v>
      </c>
      <c r="I120">
        <v>1</v>
      </c>
      <c r="J120">
        <v>4</v>
      </c>
      <c r="K120">
        <v>3</v>
      </c>
      <c r="L120">
        <v>2</v>
      </c>
      <c r="M120">
        <v>8</v>
      </c>
      <c r="N120" t="s">
        <v>24</v>
      </c>
      <c r="O120" t="s">
        <v>34</v>
      </c>
      <c r="P120" t="s">
        <v>44</v>
      </c>
      <c r="Q120">
        <v>2000000</v>
      </c>
      <c r="R120" t="s">
        <v>45</v>
      </c>
      <c r="S120" t="str">
        <f>LOWER(TRIM(CLEAN(tbl_survey_clean[[#This Row],[Komentar]])))</f>
        <v>harga terjangkau untuk kualitas segini</v>
      </c>
      <c r="T120">
        <f>LEN(tbl_survey_clean[[#This Row],[Komentar_Clean]])</f>
        <v>38</v>
      </c>
      <c r="U120" t="str">
        <f t="shared" si="6"/>
        <v>Harga</v>
      </c>
      <c r="V120" t="str">
        <f t="shared" si="7"/>
        <v>Netral</v>
      </c>
      <c r="W120" s="6">
        <v>46058</v>
      </c>
      <c r="X120" t="s">
        <v>364</v>
      </c>
    </row>
    <row r="121" spans="1:24" hidden="1" x14ac:dyDescent="0.3">
      <c r="A121" t="s">
        <v>269</v>
      </c>
      <c r="B121" t="s">
        <v>29</v>
      </c>
      <c r="C121">
        <v>31</v>
      </c>
      <c r="D121" t="s">
        <v>54</v>
      </c>
      <c r="E121" t="s">
        <v>171</v>
      </c>
      <c r="F121" t="s">
        <v>79</v>
      </c>
      <c r="G121" t="s">
        <v>41</v>
      </c>
      <c r="H121">
        <v>19</v>
      </c>
      <c r="I121">
        <v>4</v>
      </c>
      <c r="J121">
        <v>2</v>
      </c>
      <c r="K121">
        <v>4</v>
      </c>
      <c r="L121">
        <v>1</v>
      </c>
      <c r="M121">
        <v>8</v>
      </c>
      <c r="N121" t="s">
        <v>24</v>
      </c>
      <c r="O121" t="s">
        <v>107</v>
      </c>
      <c r="P121" t="s">
        <v>51</v>
      </c>
      <c r="Q121">
        <v>2000000</v>
      </c>
      <c r="R121" t="s">
        <v>126</v>
      </c>
      <c r="S121" t="str">
        <f>LOWER(TRIM(CLEAN(tbl_survey_clean[[#This Row],[Komentar]])))</f>
        <v>sudah berlangganan 2 tahun, selalu puas</v>
      </c>
      <c r="T121">
        <f>LEN(tbl_survey_clean[[#This Row],[Komentar_Clean]])</f>
        <v>39</v>
      </c>
      <c r="U121" t="str">
        <f t="shared" si="6"/>
        <v>Lainnya</v>
      </c>
      <c r="V121" t="str">
        <f t="shared" si="7"/>
        <v>Positif</v>
      </c>
      <c r="W121" s="6">
        <v>46086</v>
      </c>
      <c r="X121" t="s">
        <v>365</v>
      </c>
    </row>
    <row r="122" spans="1:24" hidden="1" x14ac:dyDescent="0.3">
      <c r="A122" t="s">
        <v>270</v>
      </c>
      <c r="B122" t="s">
        <v>19</v>
      </c>
      <c r="C122">
        <v>41</v>
      </c>
      <c r="D122" t="s">
        <v>20</v>
      </c>
      <c r="E122" t="s">
        <v>78</v>
      </c>
      <c r="F122" t="s">
        <v>79</v>
      </c>
      <c r="G122" t="s">
        <v>41</v>
      </c>
      <c r="H122">
        <v>21</v>
      </c>
      <c r="I122">
        <v>1</v>
      </c>
      <c r="J122">
        <v>3</v>
      </c>
      <c r="K122">
        <v>3</v>
      </c>
      <c r="L122">
        <v>4</v>
      </c>
      <c r="M122">
        <v>0</v>
      </c>
      <c r="N122" t="s">
        <v>33</v>
      </c>
      <c r="O122" t="s">
        <v>34</v>
      </c>
      <c r="P122" t="s">
        <v>44</v>
      </c>
      <c r="Q122">
        <v>250000</v>
      </c>
      <c r="R122" t="s">
        <v>36</v>
      </c>
      <c r="S122" t="str">
        <f>LOWER(TRIM(CLEAN(tbl_survey_clean[[#This Row],[Komentar]])))</f>
        <v>harga naik tapi kualitas sama saja</v>
      </c>
      <c r="T122">
        <f>LEN(tbl_survey_clean[[#This Row],[Komentar_Clean]])</f>
        <v>34</v>
      </c>
      <c r="U122" t="str">
        <f t="shared" si="6"/>
        <v>Harga</v>
      </c>
      <c r="V122" t="str">
        <f t="shared" si="7"/>
        <v>Netral</v>
      </c>
      <c r="W122" s="6">
        <v>46166</v>
      </c>
      <c r="X122" t="s">
        <v>367</v>
      </c>
    </row>
    <row r="123" spans="1:24" hidden="1" x14ac:dyDescent="0.3">
      <c r="A123" t="s">
        <v>271</v>
      </c>
      <c r="B123" t="s">
        <v>53</v>
      </c>
      <c r="C123">
        <v>44</v>
      </c>
      <c r="D123" t="s">
        <v>20</v>
      </c>
      <c r="E123" t="s">
        <v>72</v>
      </c>
      <c r="F123" t="s">
        <v>73</v>
      </c>
      <c r="G123" t="s">
        <v>41</v>
      </c>
      <c r="H123">
        <v>22</v>
      </c>
      <c r="I123">
        <v>3</v>
      </c>
      <c r="J123">
        <v>1</v>
      </c>
      <c r="K123">
        <v>1</v>
      </c>
      <c r="L123">
        <v>5</v>
      </c>
      <c r="M123">
        <v>10</v>
      </c>
      <c r="N123" t="s">
        <v>42</v>
      </c>
      <c r="O123" t="s">
        <v>107</v>
      </c>
      <c r="P123" t="s">
        <v>44</v>
      </c>
      <c r="Q123">
        <v>500000</v>
      </c>
      <c r="R123" t="s">
        <v>45</v>
      </c>
      <c r="S123" t="str">
        <f>LOWER(TRIM(CLEAN(tbl_survey_clean[[#This Row],[Komentar]])))</f>
        <v>harga terjangkau untuk kualitas segini</v>
      </c>
      <c r="T123">
        <f>LEN(tbl_survey_clean[[#This Row],[Komentar_Clean]])</f>
        <v>38</v>
      </c>
      <c r="U123" t="str">
        <f t="shared" si="6"/>
        <v>Harga</v>
      </c>
      <c r="V123" t="str">
        <f t="shared" si="7"/>
        <v>Netral</v>
      </c>
      <c r="W123" s="6">
        <v>46160</v>
      </c>
      <c r="X123" t="s">
        <v>367</v>
      </c>
    </row>
    <row r="124" spans="1:24" hidden="1" x14ac:dyDescent="0.3">
      <c r="A124" t="s">
        <v>272</v>
      </c>
      <c r="B124" t="s">
        <v>145</v>
      </c>
      <c r="C124">
        <v>54</v>
      </c>
      <c r="D124" t="s">
        <v>30</v>
      </c>
      <c r="E124" t="s">
        <v>142</v>
      </c>
      <c r="F124" t="s">
        <v>96</v>
      </c>
      <c r="G124" t="s">
        <v>41</v>
      </c>
      <c r="H124">
        <v>23</v>
      </c>
      <c r="I124">
        <v>2</v>
      </c>
      <c r="J124">
        <v>5</v>
      </c>
      <c r="K124">
        <v>3</v>
      </c>
      <c r="L124">
        <v>4</v>
      </c>
      <c r="M124">
        <v>8</v>
      </c>
      <c r="N124" t="s">
        <v>24</v>
      </c>
      <c r="O124" t="s">
        <v>50</v>
      </c>
      <c r="P124" t="s">
        <v>44</v>
      </c>
      <c r="Q124">
        <v>5000000</v>
      </c>
      <c r="R124" t="s">
        <v>273</v>
      </c>
      <c r="S124" t="str">
        <f>LOWER(TRIM(CLEAN(tbl_survey_clean[[#This Row],[Komentar]])))</f>
        <v>customer service sangat responsif</v>
      </c>
      <c r="T124">
        <f>LEN(tbl_survey_clean[[#This Row],[Komentar_Clean]])</f>
        <v>33</v>
      </c>
      <c r="U124" t="str">
        <f t="shared" si="6"/>
        <v>Lainnya</v>
      </c>
      <c r="V124" t="str">
        <f t="shared" si="7"/>
        <v>Netral</v>
      </c>
      <c r="W124" s="6">
        <v>46090</v>
      </c>
      <c r="X124" t="s">
        <v>365</v>
      </c>
    </row>
    <row r="125" spans="1:24" hidden="1" x14ac:dyDescent="0.3">
      <c r="A125" t="s">
        <v>274</v>
      </c>
      <c r="B125" t="s">
        <v>165</v>
      </c>
      <c r="C125">
        <v>18</v>
      </c>
      <c r="D125" t="s">
        <v>90</v>
      </c>
      <c r="E125" t="s">
        <v>140</v>
      </c>
      <c r="F125" t="s">
        <v>40</v>
      </c>
      <c r="G125" t="s">
        <v>23</v>
      </c>
      <c r="H125">
        <v>5</v>
      </c>
      <c r="I125">
        <v>3</v>
      </c>
      <c r="J125">
        <v>2</v>
      </c>
      <c r="K125">
        <v>4</v>
      </c>
      <c r="L125">
        <v>2</v>
      </c>
      <c r="M125">
        <v>10</v>
      </c>
      <c r="N125" t="s">
        <v>42</v>
      </c>
      <c r="O125" t="s">
        <v>43</v>
      </c>
      <c r="P125" t="s">
        <v>35</v>
      </c>
      <c r="Q125">
        <v>1000000</v>
      </c>
      <c r="R125" t="s">
        <v>62</v>
      </c>
      <c r="S125" t="str">
        <f>LOWER(TRIM(CLEAN(tbl_survey_clean[[#This Row],[Komentar]])))</f>
        <v>produk sangat berkualitas, saya puas!</v>
      </c>
      <c r="T125">
        <f>LEN(tbl_survey_clean[[#This Row],[Komentar_Clean]])</f>
        <v>37</v>
      </c>
      <c r="U125" t="str">
        <f t="shared" si="6"/>
        <v>Produk</v>
      </c>
      <c r="V125" t="str">
        <f t="shared" si="7"/>
        <v>Positif</v>
      </c>
      <c r="W125" s="6">
        <v>46172</v>
      </c>
      <c r="X125" t="s">
        <v>367</v>
      </c>
    </row>
    <row r="126" spans="1:24" hidden="1" x14ac:dyDescent="0.3">
      <c r="A126" t="s">
        <v>275</v>
      </c>
      <c r="B126" t="s">
        <v>159</v>
      </c>
      <c r="C126">
        <v>22</v>
      </c>
      <c r="D126" t="s">
        <v>90</v>
      </c>
      <c r="E126" t="s">
        <v>48</v>
      </c>
      <c r="F126" t="s">
        <v>49</v>
      </c>
      <c r="G126" t="s">
        <v>23</v>
      </c>
      <c r="H126">
        <v>46</v>
      </c>
      <c r="I126">
        <v>2</v>
      </c>
      <c r="J126">
        <v>3</v>
      </c>
      <c r="K126">
        <v>1</v>
      </c>
      <c r="L126">
        <v>2</v>
      </c>
      <c r="M126">
        <v>9</v>
      </c>
      <c r="N126" t="s">
        <v>42</v>
      </c>
      <c r="O126" t="s">
        <v>50</v>
      </c>
      <c r="P126" t="s">
        <v>108</v>
      </c>
      <c r="Q126">
        <v>500000</v>
      </c>
      <c r="R126" t="s">
        <v>97</v>
      </c>
      <c r="S126" t="str">
        <f>LOWER(TRIM(CLEAN(tbl_survey_clean[[#This Row],[Komentar]])))</f>
        <v>pengiriman cepat dan packaging aman</v>
      </c>
      <c r="T126">
        <f>LEN(tbl_survey_clean[[#This Row],[Komentar_Clean]])</f>
        <v>35</v>
      </c>
      <c r="U126" t="str">
        <f t="shared" si="6"/>
        <v>Pengiriman</v>
      </c>
      <c r="V126" t="str">
        <f t="shared" si="7"/>
        <v>Positif</v>
      </c>
      <c r="W126" s="6">
        <v>46132</v>
      </c>
      <c r="X126" t="s">
        <v>366</v>
      </c>
    </row>
    <row r="127" spans="1:24" hidden="1" x14ac:dyDescent="0.3">
      <c r="A127" t="s">
        <v>276</v>
      </c>
      <c r="B127" t="s">
        <v>151</v>
      </c>
      <c r="C127">
        <v>42</v>
      </c>
      <c r="D127" t="s">
        <v>20</v>
      </c>
      <c r="E127" t="s">
        <v>142</v>
      </c>
      <c r="F127" t="s">
        <v>96</v>
      </c>
      <c r="G127" t="s">
        <v>23</v>
      </c>
      <c r="H127">
        <v>11</v>
      </c>
      <c r="I127">
        <v>1</v>
      </c>
      <c r="J127">
        <v>5</v>
      </c>
      <c r="K127">
        <v>5</v>
      </c>
      <c r="L127">
        <v>4</v>
      </c>
      <c r="M127">
        <v>3</v>
      </c>
      <c r="N127" t="s">
        <v>33</v>
      </c>
      <c r="O127" t="s">
        <v>34</v>
      </c>
      <c r="P127" t="s">
        <v>44</v>
      </c>
      <c r="Q127">
        <v>500000</v>
      </c>
      <c r="R127" t="s">
        <v>57</v>
      </c>
      <c r="S127" t="str">
        <f>LOWER(TRIM(CLEAN(tbl_survey_clean[[#This Row],[Komentar]])))</f>
        <v>pengiriman agak lama dari estimasi</v>
      </c>
      <c r="T127">
        <f>LEN(tbl_survey_clean[[#This Row],[Komentar_Clean]])</f>
        <v>34</v>
      </c>
      <c r="U127" t="str">
        <f t="shared" si="6"/>
        <v>Pengiriman</v>
      </c>
      <c r="V127" t="str">
        <f t="shared" si="7"/>
        <v>Negatif</v>
      </c>
      <c r="W127" s="6">
        <v>46172</v>
      </c>
      <c r="X127" t="s">
        <v>367</v>
      </c>
    </row>
    <row r="128" spans="1:24" hidden="1" x14ac:dyDescent="0.3">
      <c r="A128" t="s">
        <v>277</v>
      </c>
      <c r="B128" t="s">
        <v>102</v>
      </c>
      <c r="C128">
        <v>25</v>
      </c>
      <c r="D128" t="s">
        <v>54</v>
      </c>
      <c r="E128" t="s">
        <v>140</v>
      </c>
      <c r="F128" t="s">
        <v>40</v>
      </c>
      <c r="G128" t="s">
        <v>23</v>
      </c>
      <c r="H128">
        <v>37</v>
      </c>
      <c r="I128">
        <v>4</v>
      </c>
      <c r="J128">
        <v>4</v>
      </c>
      <c r="K128">
        <v>1</v>
      </c>
      <c r="L128">
        <v>4</v>
      </c>
      <c r="M128">
        <v>5</v>
      </c>
      <c r="N128" t="s">
        <v>33</v>
      </c>
      <c r="O128" t="s">
        <v>69</v>
      </c>
      <c r="P128" t="s">
        <v>108</v>
      </c>
      <c r="Q128">
        <v>1000000</v>
      </c>
      <c r="R128" t="s">
        <v>80</v>
      </c>
      <c r="S128" t="str">
        <f>LOWER(TRIM(CLEAN(tbl_survey_clean[[#This Row],[Komentar]])))</f>
        <v>proses return barang terlalu ribet</v>
      </c>
      <c r="T128">
        <f>LEN(tbl_survey_clean[[#This Row],[Komentar_Clean]])</f>
        <v>34</v>
      </c>
      <c r="U128" t="str">
        <f t="shared" si="6"/>
        <v>Lainnya</v>
      </c>
      <c r="V128" t="str">
        <f t="shared" si="7"/>
        <v>Negatif</v>
      </c>
      <c r="W128" s="6">
        <v>46125</v>
      </c>
      <c r="X128" t="s">
        <v>366</v>
      </c>
    </row>
    <row r="129" spans="1:24" hidden="1" x14ac:dyDescent="0.3">
      <c r="A129" t="s">
        <v>278</v>
      </c>
      <c r="B129" t="s">
        <v>82</v>
      </c>
      <c r="C129">
        <v>32</v>
      </c>
      <c r="D129" t="s">
        <v>54</v>
      </c>
      <c r="E129" t="s">
        <v>124</v>
      </c>
      <c r="F129" t="s">
        <v>125</v>
      </c>
      <c r="G129" t="s">
        <v>23</v>
      </c>
      <c r="H129">
        <v>6</v>
      </c>
      <c r="I129">
        <v>2</v>
      </c>
      <c r="J129">
        <v>5</v>
      </c>
      <c r="K129">
        <v>3</v>
      </c>
      <c r="L129">
        <v>2</v>
      </c>
      <c r="M129">
        <v>1</v>
      </c>
      <c r="N129" t="s">
        <v>33</v>
      </c>
      <c r="O129" t="s">
        <v>25</v>
      </c>
      <c r="P129" t="s">
        <v>26</v>
      </c>
      <c r="Q129">
        <v>2000000</v>
      </c>
      <c r="R129" t="s">
        <v>87</v>
      </c>
      <c r="S129" t="str">
        <f>LOWER(TRIM(CLEAN(tbl_survey_clean[[#This Row],[Komentar]])))</f>
        <v>perlu peningkatan pada packaging</v>
      </c>
      <c r="T129">
        <f>LEN(tbl_survey_clean[[#This Row],[Komentar_Clean]])</f>
        <v>32</v>
      </c>
      <c r="U129" t="str">
        <f t="shared" si="6"/>
        <v>Lainnya</v>
      </c>
      <c r="V129" t="str">
        <f t="shared" si="7"/>
        <v>Netral</v>
      </c>
      <c r="W129" s="6">
        <v>46115</v>
      </c>
      <c r="X129" t="s">
        <v>366</v>
      </c>
    </row>
    <row r="130" spans="1:24" x14ac:dyDescent="0.3">
      <c r="A130" t="s">
        <v>279</v>
      </c>
      <c r="B130" t="s">
        <v>247</v>
      </c>
      <c r="C130">
        <v>49</v>
      </c>
      <c r="D130" t="s">
        <v>30</v>
      </c>
      <c r="E130" t="s">
        <v>31</v>
      </c>
      <c r="F130" t="s">
        <v>32</v>
      </c>
      <c r="G130" t="s">
        <v>41</v>
      </c>
      <c r="H130">
        <v>3</v>
      </c>
      <c r="I130">
        <v>5</v>
      </c>
      <c r="J130">
        <v>3</v>
      </c>
      <c r="K130">
        <v>2</v>
      </c>
      <c r="L130">
        <v>2</v>
      </c>
      <c r="M130">
        <v>1</v>
      </c>
      <c r="N130" t="s">
        <v>33</v>
      </c>
      <c r="O130" t="s">
        <v>25</v>
      </c>
      <c r="P130" t="s">
        <v>44</v>
      </c>
      <c r="Q130">
        <v>100000</v>
      </c>
      <c r="R130" t="s">
        <v>121</v>
      </c>
      <c r="S130" t="str">
        <f>LOWER(TRIM(CLEAN(tbl_survey_clean[[#This Row],[Komentar]])))</f>
        <v>ada beberapa produk yang tidak sesuai foto</v>
      </c>
      <c r="T130">
        <f>LEN(tbl_survey_clean[[#This Row],[Komentar_Clean]])</f>
        <v>42</v>
      </c>
      <c r="U130" t="str">
        <f t="shared" ref="U130:U161" si="8">IF(ISNUMBER(SEARCH("harga",S130)),"Harga",IF(ISNUMBER(SEARCH("pengiriman",S130)),"Pengiriman",IF(ISNUMBER(SEARCH("pelayanan",S130)),"Pelayanan",IF(ISNUMBER(SEARCH("produk",S130)),"Produk","Lainnya"))))</f>
        <v>Produk</v>
      </c>
      <c r="V130" t="str">
        <f t="shared" ref="V130:V161" si="9">IF(OR(ISNUMBER(SEARCH("puas",S130)),ISNUMBER(SEARCH("bagus",S130)),ISNUMBER(SEARCH("cepat",S130)),ISNUMBER(SEARCH("aman",S130))),"Positif",IF(OR(ISNUMBER(SEARCH("mahal",S130)),ISNUMBER(SEARCH("lama",S130)),ISNUMBER(SEARCH("buruk",S130)),ISNUMBER(SEARCH("susah",S130)),ISNUMBER(SEARCH("ribet",S130)),ISNUMBER(SEARCH("perbaikan",S130))),"Negatif","Netral"))</f>
        <v>Netral</v>
      </c>
      <c r="W130" s="6">
        <v>46079</v>
      </c>
      <c r="X130" t="s">
        <v>364</v>
      </c>
    </row>
    <row r="131" spans="1:24" x14ac:dyDescent="0.3">
      <c r="A131" t="s">
        <v>280</v>
      </c>
      <c r="B131" t="s">
        <v>120</v>
      </c>
      <c r="C131">
        <v>48</v>
      </c>
      <c r="D131" t="s">
        <v>30</v>
      </c>
      <c r="E131" t="s">
        <v>39</v>
      </c>
      <c r="F131" t="s">
        <v>40</v>
      </c>
      <c r="G131" t="s">
        <v>41</v>
      </c>
      <c r="H131">
        <v>19</v>
      </c>
      <c r="I131">
        <v>4</v>
      </c>
      <c r="J131">
        <v>3</v>
      </c>
      <c r="K131">
        <v>3</v>
      </c>
      <c r="L131">
        <v>5</v>
      </c>
      <c r="M131">
        <v>10</v>
      </c>
      <c r="N131" t="s">
        <v>42</v>
      </c>
      <c r="O131" t="s">
        <v>43</v>
      </c>
      <c r="P131" t="s">
        <v>35</v>
      </c>
      <c r="Q131">
        <v>500000</v>
      </c>
      <c r="R131" t="s">
        <v>273</v>
      </c>
      <c r="S131" t="str">
        <f>LOWER(TRIM(CLEAN(tbl_survey_clean[[#This Row],[Komentar]])))</f>
        <v>customer service sangat responsif</v>
      </c>
      <c r="T131">
        <f>LEN(tbl_survey_clean[[#This Row],[Komentar_Clean]])</f>
        <v>33</v>
      </c>
      <c r="U131" t="str">
        <f t="shared" si="8"/>
        <v>Lainnya</v>
      </c>
      <c r="V131" t="str">
        <f t="shared" si="9"/>
        <v>Netral</v>
      </c>
      <c r="W131" s="6">
        <v>46058</v>
      </c>
      <c r="X131" t="s">
        <v>364</v>
      </c>
    </row>
    <row r="132" spans="1:24" hidden="1" x14ac:dyDescent="0.3">
      <c r="A132" t="s">
        <v>281</v>
      </c>
      <c r="B132" t="s">
        <v>47</v>
      </c>
      <c r="C132">
        <v>42</v>
      </c>
      <c r="D132" t="s">
        <v>20</v>
      </c>
      <c r="E132" t="s">
        <v>124</v>
      </c>
      <c r="F132" t="s">
        <v>125</v>
      </c>
      <c r="G132" t="s">
        <v>23</v>
      </c>
      <c r="H132">
        <v>20</v>
      </c>
      <c r="I132">
        <v>3</v>
      </c>
      <c r="J132">
        <v>3</v>
      </c>
      <c r="K132">
        <v>5</v>
      </c>
      <c r="L132">
        <v>4</v>
      </c>
      <c r="M132">
        <v>7</v>
      </c>
      <c r="N132" t="s">
        <v>24</v>
      </c>
      <c r="O132" t="s">
        <v>25</v>
      </c>
      <c r="P132" t="s">
        <v>44</v>
      </c>
      <c r="Q132">
        <v>1000000</v>
      </c>
      <c r="R132" t="s">
        <v>186</v>
      </c>
      <c r="S132" t="str">
        <f>LOWER(TRIM(CLEAN(tbl_survey_clean[[#This Row],[Komentar]])))</f>
        <v>oke lah, bisa dicoba lagi</v>
      </c>
      <c r="T132">
        <f>LEN(tbl_survey_clean[[#This Row],[Komentar_Clean]])</f>
        <v>25</v>
      </c>
      <c r="U132" t="str">
        <f t="shared" si="8"/>
        <v>Lainnya</v>
      </c>
      <c r="V132" t="str">
        <f t="shared" si="9"/>
        <v>Netral</v>
      </c>
      <c r="W132" s="6">
        <v>46153</v>
      </c>
      <c r="X132" t="s">
        <v>367</v>
      </c>
    </row>
    <row r="133" spans="1:24" hidden="1" x14ac:dyDescent="0.3">
      <c r="A133" t="s">
        <v>282</v>
      </c>
      <c r="B133" t="s">
        <v>114</v>
      </c>
      <c r="C133">
        <v>41</v>
      </c>
      <c r="D133" t="s">
        <v>20</v>
      </c>
      <c r="E133" t="s">
        <v>166</v>
      </c>
      <c r="F133" t="s">
        <v>125</v>
      </c>
      <c r="G133" t="s">
        <v>23</v>
      </c>
      <c r="H133">
        <v>2</v>
      </c>
      <c r="I133">
        <v>3</v>
      </c>
      <c r="J133">
        <v>4</v>
      </c>
      <c r="K133">
        <v>1</v>
      </c>
      <c r="L133">
        <v>3</v>
      </c>
      <c r="M133">
        <v>5</v>
      </c>
      <c r="N133" t="s">
        <v>33</v>
      </c>
      <c r="O133" t="s">
        <v>25</v>
      </c>
      <c r="P133" t="s">
        <v>35</v>
      </c>
      <c r="Q133">
        <v>500000</v>
      </c>
      <c r="R133" t="s">
        <v>57</v>
      </c>
      <c r="S133" t="str">
        <f>LOWER(TRIM(CLEAN(tbl_survey_clean[[#This Row],[Komentar]])))</f>
        <v>pengiriman agak lama dari estimasi</v>
      </c>
      <c r="T133">
        <f>LEN(tbl_survey_clean[[#This Row],[Komentar_Clean]])</f>
        <v>34</v>
      </c>
      <c r="U133" t="str">
        <f t="shared" si="8"/>
        <v>Pengiriman</v>
      </c>
      <c r="V133" t="str">
        <f t="shared" si="9"/>
        <v>Negatif</v>
      </c>
      <c r="W133" s="6">
        <v>46149</v>
      </c>
      <c r="X133" t="s">
        <v>367</v>
      </c>
    </row>
    <row r="134" spans="1:24" hidden="1" x14ac:dyDescent="0.3">
      <c r="A134" t="s">
        <v>283</v>
      </c>
      <c r="B134" t="s">
        <v>112</v>
      </c>
      <c r="C134">
        <v>19</v>
      </c>
      <c r="D134" t="s">
        <v>90</v>
      </c>
      <c r="E134" t="s">
        <v>105</v>
      </c>
      <c r="F134" t="s">
        <v>106</v>
      </c>
      <c r="G134" t="s">
        <v>41</v>
      </c>
      <c r="H134">
        <v>30</v>
      </c>
      <c r="I134">
        <v>5</v>
      </c>
      <c r="J134">
        <v>4</v>
      </c>
      <c r="K134">
        <v>3</v>
      </c>
      <c r="L134">
        <v>5</v>
      </c>
      <c r="M134">
        <v>6</v>
      </c>
      <c r="N134" t="s">
        <v>33</v>
      </c>
      <c r="O134" t="s">
        <v>69</v>
      </c>
      <c r="P134" t="s">
        <v>108</v>
      </c>
      <c r="Q134">
        <v>500000</v>
      </c>
      <c r="R134" t="s">
        <v>92</v>
      </c>
      <c r="S134" t="str">
        <f>LOWER(TRIM(CLEAN(tbl_survey_clean[[#This Row],[Komentar]])))</f>
        <v>cukup baik untuk harganya</v>
      </c>
      <c r="T134">
        <f>LEN(tbl_survey_clean[[#This Row],[Komentar_Clean]])</f>
        <v>25</v>
      </c>
      <c r="U134" t="str">
        <f t="shared" si="8"/>
        <v>Harga</v>
      </c>
      <c r="V134" t="str">
        <f t="shared" si="9"/>
        <v>Netral</v>
      </c>
      <c r="W134" s="6">
        <v>46046</v>
      </c>
      <c r="X134" t="s">
        <v>363</v>
      </c>
    </row>
    <row r="135" spans="1:24" hidden="1" x14ac:dyDescent="0.3">
      <c r="A135" t="s">
        <v>284</v>
      </c>
      <c r="B135" t="s">
        <v>59</v>
      </c>
      <c r="C135">
        <v>25</v>
      </c>
      <c r="D135" t="s">
        <v>54</v>
      </c>
      <c r="E135" t="s">
        <v>78</v>
      </c>
      <c r="F135" t="s">
        <v>79</v>
      </c>
      <c r="G135" t="s">
        <v>23</v>
      </c>
      <c r="H135">
        <v>45</v>
      </c>
      <c r="I135">
        <v>5</v>
      </c>
      <c r="J135">
        <v>4</v>
      </c>
      <c r="K135">
        <v>2</v>
      </c>
      <c r="L135">
        <v>3</v>
      </c>
      <c r="M135">
        <v>3</v>
      </c>
      <c r="N135" t="s">
        <v>33</v>
      </c>
      <c r="O135" t="s">
        <v>69</v>
      </c>
      <c r="P135" t="s">
        <v>44</v>
      </c>
      <c r="Q135">
        <v>250000</v>
      </c>
      <c r="R135" t="s">
        <v>57</v>
      </c>
      <c r="S135" t="str">
        <f>LOWER(TRIM(CLEAN(tbl_survey_clean[[#This Row],[Komentar]])))</f>
        <v>pengiriman agak lama dari estimasi</v>
      </c>
      <c r="T135">
        <f>LEN(tbl_survey_clean[[#This Row],[Komentar_Clean]])</f>
        <v>34</v>
      </c>
      <c r="U135" t="str">
        <f t="shared" si="8"/>
        <v>Pengiriman</v>
      </c>
      <c r="V135" t="str">
        <f t="shared" si="9"/>
        <v>Negatif</v>
      </c>
      <c r="W135" s="6">
        <v>46035</v>
      </c>
      <c r="X135" t="s">
        <v>363</v>
      </c>
    </row>
    <row r="136" spans="1:24" hidden="1" x14ac:dyDescent="0.3">
      <c r="A136" t="s">
        <v>285</v>
      </c>
      <c r="B136" t="s">
        <v>99</v>
      </c>
      <c r="C136">
        <v>39</v>
      </c>
      <c r="D136" t="s">
        <v>20</v>
      </c>
      <c r="E136" t="s">
        <v>115</v>
      </c>
      <c r="F136" t="s">
        <v>22</v>
      </c>
      <c r="G136" t="s">
        <v>23</v>
      </c>
      <c r="H136">
        <v>44</v>
      </c>
      <c r="I136">
        <v>1</v>
      </c>
      <c r="J136">
        <v>2</v>
      </c>
      <c r="K136">
        <v>5</v>
      </c>
      <c r="L136">
        <v>2</v>
      </c>
      <c r="M136">
        <v>7</v>
      </c>
      <c r="N136" t="s">
        <v>24</v>
      </c>
      <c r="O136" t="s">
        <v>34</v>
      </c>
      <c r="P136" t="s">
        <v>44</v>
      </c>
      <c r="Q136">
        <v>100000</v>
      </c>
      <c r="R136" t="s">
        <v>186</v>
      </c>
      <c r="S136" t="str">
        <f>LOWER(TRIM(CLEAN(tbl_survey_clean[[#This Row],[Komentar]])))</f>
        <v>oke lah, bisa dicoba lagi</v>
      </c>
      <c r="T136">
        <f>LEN(tbl_survey_clean[[#This Row],[Komentar_Clean]])</f>
        <v>25</v>
      </c>
      <c r="U136" t="str">
        <f t="shared" si="8"/>
        <v>Lainnya</v>
      </c>
      <c r="V136" t="str">
        <f t="shared" si="9"/>
        <v>Netral</v>
      </c>
      <c r="W136" s="6">
        <v>46051</v>
      </c>
      <c r="X136" t="s">
        <v>363</v>
      </c>
    </row>
    <row r="137" spans="1:24" x14ac:dyDescent="0.3">
      <c r="A137" t="s">
        <v>286</v>
      </c>
      <c r="B137" t="s">
        <v>29</v>
      </c>
      <c r="C137">
        <v>56</v>
      </c>
      <c r="D137" t="s">
        <v>83</v>
      </c>
      <c r="E137" t="s">
        <v>60</v>
      </c>
      <c r="F137" t="s">
        <v>61</v>
      </c>
      <c r="G137" t="s">
        <v>23</v>
      </c>
      <c r="H137">
        <v>22</v>
      </c>
      <c r="I137">
        <v>3</v>
      </c>
      <c r="J137">
        <v>5</v>
      </c>
      <c r="K137">
        <v>5</v>
      </c>
      <c r="L137">
        <v>5</v>
      </c>
      <c r="M137">
        <v>9</v>
      </c>
      <c r="N137" t="s">
        <v>42</v>
      </c>
      <c r="O137" t="s">
        <v>25</v>
      </c>
      <c r="P137" t="s">
        <v>51</v>
      </c>
      <c r="Q137">
        <v>1000000</v>
      </c>
      <c r="R137" t="s">
        <v>126</v>
      </c>
      <c r="S137" t="str">
        <f>LOWER(TRIM(CLEAN(tbl_survey_clean[[#This Row],[Komentar]])))</f>
        <v>sudah berlangganan 2 tahun, selalu puas</v>
      </c>
      <c r="T137">
        <f>LEN(tbl_survey_clean[[#This Row],[Komentar_Clean]])</f>
        <v>39</v>
      </c>
      <c r="U137" t="str">
        <f t="shared" si="8"/>
        <v>Lainnya</v>
      </c>
      <c r="V137" t="str">
        <f t="shared" si="9"/>
        <v>Positif</v>
      </c>
      <c r="W137" s="6">
        <v>46062</v>
      </c>
      <c r="X137" t="s">
        <v>364</v>
      </c>
    </row>
    <row r="138" spans="1:24" hidden="1" x14ac:dyDescent="0.3">
      <c r="A138" t="s">
        <v>287</v>
      </c>
      <c r="B138" t="s">
        <v>149</v>
      </c>
      <c r="C138">
        <v>32</v>
      </c>
      <c r="D138" t="s">
        <v>54</v>
      </c>
      <c r="E138" t="s">
        <v>78</v>
      </c>
      <c r="F138" t="s">
        <v>79</v>
      </c>
      <c r="G138" t="s">
        <v>23</v>
      </c>
      <c r="H138">
        <v>46</v>
      </c>
      <c r="I138">
        <v>3</v>
      </c>
      <c r="J138">
        <v>3</v>
      </c>
      <c r="K138">
        <v>3</v>
      </c>
      <c r="L138">
        <v>3</v>
      </c>
      <c r="M138">
        <v>3</v>
      </c>
      <c r="N138" t="s">
        <v>33</v>
      </c>
      <c r="O138" t="s">
        <v>107</v>
      </c>
      <c r="P138" t="s">
        <v>44</v>
      </c>
      <c r="Q138">
        <v>250000</v>
      </c>
      <c r="R138" t="s">
        <v>36</v>
      </c>
      <c r="S138" t="str">
        <f>LOWER(TRIM(CLEAN(tbl_survey_clean[[#This Row],[Komentar]])))</f>
        <v>harga naik tapi kualitas sama saja</v>
      </c>
      <c r="T138">
        <f>LEN(tbl_survey_clean[[#This Row],[Komentar_Clean]])</f>
        <v>34</v>
      </c>
      <c r="U138" t="str">
        <f t="shared" si="8"/>
        <v>Harga</v>
      </c>
      <c r="V138" t="str">
        <f t="shared" si="9"/>
        <v>Netral</v>
      </c>
      <c r="W138" s="6">
        <v>46183</v>
      </c>
      <c r="X138" t="s">
        <v>368</v>
      </c>
    </row>
    <row r="139" spans="1:24" x14ac:dyDescent="0.3">
      <c r="A139" t="s">
        <v>288</v>
      </c>
      <c r="B139" t="s">
        <v>19</v>
      </c>
      <c r="C139">
        <v>65</v>
      </c>
      <c r="D139" t="s">
        <v>83</v>
      </c>
      <c r="E139" t="s">
        <v>166</v>
      </c>
      <c r="F139" t="s">
        <v>125</v>
      </c>
      <c r="G139" t="s">
        <v>23</v>
      </c>
      <c r="H139">
        <v>19</v>
      </c>
      <c r="I139">
        <v>5</v>
      </c>
      <c r="J139">
        <v>2</v>
      </c>
      <c r="K139">
        <v>3</v>
      </c>
      <c r="L139">
        <v>3</v>
      </c>
      <c r="M139">
        <v>9</v>
      </c>
      <c r="N139" t="s">
        <v>42</v>
      </c>
      <c r="O139" t="s">
        <v>50</v>
      </c>
      <c r="P139" t="s">
        <v>26</v>
      </c>
      <c r="Q139">
        <v>100000</v>
      </c>
      <c r="R139" t="s">
        <v>273</v>
      </c>
      <c r="S139" t="str">
        <f>LOWER(TRIM(CLEAN(tbl_survey_clean[[#This Row],[Komentar]])))</f>
        <v>customer service sangat responsif</v>
      </c>
      <c r="T139">
        <f>LEN(tbl_survey_clean[[#This Row],[Komentar_Clean]])</f>
        <v>33</v>
      </c>
      <c r="U139" t="str">
        <f t="shared" si="8"/>
        <v>Lainnya</v>
      </c>
      <c r="V139" t="str">
        <f t="shared" si="9"/>
        <v>Netral</v>
      </c>
      <c r="W139" s="6">
        <v>46063</v>
      </c>
      <c r="X139" t="s">
        <v>364</v>
      </c>
    </row>
    <row r="140" spans="1:24" hidden="1" x14ac:dyDescent="0.3">
      <c r="A140" t="s">
        <v>289</v>
      </c>
      <c r="B140" t="s">
        <v>173</v>
      </c>
      <c r="C140">
        <v>65</v>
      </c>
      <c r="D140" t="s">
        <v>83</v>
      </c>
      <c r="E140" t="s">
        <v>218</v>
      </c>
      <c r="F140" t="s">
        <v>373</v>
      </c>
      <c r="G140" t="s">
        <v>41</v>
      </c>
      <c r="H140">
        <v>22</v>
      </c>
      <c r="I140">
        <v>5</v>
      </c>
      <c r="J140">
        <v>2</v>
      </c>
      <c r="K140">
        <v>2</v>
      </c>
      <c r="L140">
        <v>2</v>
      </c>
      <c r="M140">
        <v>0</v>
      </c>
      <c r="N140" t="s">
        <v>33</v>
      </c>
      <c r="O140" t="s">
        <v>107</v>
      </c>
      <c r="P140" t="s">
        <v>51</v>
      </c>
      <c r="Q140">
        <v>1000000</v>
      </c>
      <c r="R140" t="s">
        <v>87</v>
      </c>
      <c r="S140" t="str">
        <f>LOWER(TRIM(CLEAN(tbl_survey_clean[[#This Row],[Komentar]])))</f>
        <v>perlu peningkatan pada packaging</v>
      </c>
      <c r="T140">
        <f>LEN(tbl_survey_clean[[#This Row],[Komentar_Clean]])</f>
        <v>32</v>
      </c>
      <c r="U140" t="str">
        <f t="shared" si="8"/>
        <v>Lainnya</v>
      </c>
      <c r="V140" t="str">
        <f t="shared" si="9"/>
        <v>Netral</v>
      </c>
      <c r="W140" s="6">
        <v>46197</v>
      </c>
      <c r="X140" t="s">
        <v>368</v>
      </c>
    </row>
    <row r="141" spans="1:24" hidden="1" x14ac:dyDescent="0.3">
      <c r="A141" t="s">
        <v>290</v>
      </c>
      <c r="B141" t="s">
        <v>120</v>
      </c>
      <c r="C141">
        <v>53</v>
      </c>
      <c r="D141" t="s">
        <v>30</v>
      </c>
      <c r="E141" t="s">
        <v>49</v>
      </c>
      <c r="F141" t="s">
        <v>49</v>
      </c>
      <c r="G141" t="s">
        <v>23</v>
      </c>
      <c r="H141">
        <v>11</v>
      </c>
      <c r="I141">
        <v>5</v>
      </c>
      <c r="J141">
        <v>5</v>
      </c>
      <c r="K141">
        <v>5</v>
      </c>
      <c r="L141">
        <v>3</v>
      </c>
      <c r="M141">
        <v>1</v>
      </c>
      <c r="N141" t="s">
        <v>33</v>
      </c>
      <c r="O141" t="s">
        <v>34</v>
      </c>
      <c r="P141" t="s">
        <v>44</v>
      </c>
      <c r="Q141">
        <v>50000</v>
      </c>
      <c r="R141" t="s">
        <v>121</v>
      </c>
      <c r="S141" t="str">
        <f>LOWER(TRIM(CLEAN(tbl_survey_clean[[#This Row],[Komentar]])))</f>
        <v>ada beberapa produk yang tidak sesuai foto</v>
      </c>
      <c r="T141">
        <f>LEN(tbl_survey_clean[[#This Row],[Komentar_Clean]])</f>
        <v>42</v>
      </c>
      <c r="U141" t="str">
        <f t="shared" si="8"/>
        <v>Produk</v>
      </c>
      <c r="V141" t="str">
        <f t="shared" si="9"/>
        <v>Netral</v>
      </c>
      <c r="W141" s="6">
        <v>46131</v>
      </c>
      <c r="X141" t="s">
        <v>366</v>
      </c>
    </row>
    <row r="142" spans="1:24" hidden="1" x14ac:dyDescent="0.3">
      <c r="A142" t="s">
        <v>291</v>
      </c>
      <c r="B142" t="s">
        <v>259</v>
      </c>
      <c r="C142">
        <v>24</v>
      </c>
      <c r="D142" t="s">
        <v>90</v>
      </c>
      <c r="E142" t="s">
        <v>49</v>
      </c>
      <c r="F142" t="s">
        <v>49</v>
      </c>
      <c r="G142" t="s">
        <v>23</v>
      </c>
      <c r="H142">
        <v>23</v>
      </c>
      <c r="I142">
        <v>4</v>
      </c>
      <c r="J142">
        <v>1</v>
      </c>
      <c r="K142">
        <v>4</v>
      </c>
      <c r="L142">
        <v>3</v>
      </c>
      <c r="M142">
        <v>4</v>
      </c>
      <c r="N142" t="s">
        <v>33</v>
      </c>
      <c r="O142" t="s">
        <v>25</v>
      </c>
      <c r="P142" t="s">
        <v>26</v>
      </c>
      <c r="Q142">
        <v>100000</v>
      </c>
      <c r="R142" t="s">
        <v>87</v>
      </c>
      <c r="S142" t="str">
        <f>LOWER(TRIM(CLEAN(tbl_survey_clean[[#This Row],[Komentar]])))</f>
        <v>perlu peningkatan pada packaging</v>
      </c>
      <c r="T142">
        <f>LEN(tbl_survey_clean[[#This Row],[Komentar_Clean]])</f>
        <v>32</v>
      </c>
      <c r="U142" t="str">
        <f t="shared" si="8"/>
        <v>Lainnya</v>
      </c>
      <c r="V142" t="str">
        <f t="shared" si="9"/>
        <v>Netral</v>
      </c>
      <c r="W142" s="6">
        <v>46175</v>
      </c>
      <c r="X142" t="s">
        <v>368</v>
      </c>
    </row>
    <row r="143" spans="1:24" hidden="1" x14ac:dyDescent="0.3">
      <c r="A143" t="s">
        <v>292</v>
      </c>
      <c r="B143" t="s">
        <v>176</v>
      </c>
      <c r="C143">
        <v>25</v>
      </c>
      <c r="D143" t="s">
        <v>54</v>
      </c>
      <c r="E143" t="s">
        <v>105</v>
      </c>
      <c r="F143" t="s">
        <v>106</v>
      </c>
      <c r="G143" t="s">
        <v>23</v>
      </c>
      <c r="H143">
        <v>37</v>
      </c>
      <c r="I143">
        <v>1</v>
      </c>
      <c r="J143">
        <v>2</v>
      </c>
      <c r="K143">
        <v>1</v>
      </c>
      <c r="L143">
        <v>1</v>
      </c>
      <c r="M143">
        <v>4</v>
      </c>
      <c r="N143" t="s">
        <v>33</v>
      </c>
      <c r="O143" t="s">
        <v>43</v>
      </c>
      <c r="P143" t="s">
        <v>35</v>
      </c>
      <c r="Q143">
        <v>500000</v>
      </c>
      <c r="R143" t="s">
        <v>36</v>
      </c>
      <c r="S143" t="str">
        <f>LOWER(TRIM(CLEAN(tbl_survey_clean[[#This Row],[Komentar]])))</f>
        <v>harga naik tapi kualitas sama saja</v>
      </c>
      <c r="T143">
        <f>LEN(tbl_survey_clean[[#This Row],[Komentar_Clean]])</f>
        <v>34</v>
      </c>
      <c r="U143" t="str">
        <f t="shared" si="8"/>
        <v>Harga</v>
      </c>
      <c r="V143" t="str">
        <f t="shared" si="9"/>
        <v>Netral</v>
      </c>
      <c r="W143" s="6">
        <v>46039</v>
      </c>
      <c r="X143" t="s">
        <v>363</v>
      </c>
    </row>
    <row r="144" spans="1:24" hidden="1" x14ac:dyDescent="0.3">
      <c r="A144" t="s">
        <v>293</v>
      </c>
      <c r="B144" t="s">
        <v>247</v>
      </c>
      <c r="C144">
        <v>31</v>
      </c>
      <c r="D144" t="s">
        <v>54</v>
      </c>
      <c r="E144" t="s">
        <v>48</v>
      </c>
      <c r="F144" t="s">
        <v>49</v>
      </c>
      <c r="G144" t="s">
        <v>41</v>
      </c>
      <c r="H144">
        <v>9</v>
      </c>
      <c r="I144">
        <v>5</v>
      </c>
      <c r="J144">
        <v>1</v>
      </c>
      <c r="K144">
        <v>1</v>
      </c>
      <c r="L144">
        <v>2</v>
      </c>
      <c r="M144">
        <v>5</v>
      </c>
      <c r="N144" t="s">
        <v>33</v>
      </c>
      <c r="O144" t="s">
        <v>69</v>
      </c>
      <c r="P144" t="s">
        <v>51</v>
      </c>
      <c r="Q144">
        <v>5000000</v>
      </c>
      <c r="R144" t="s">
        <v>57</v>
      </c>
      <c r="S144" t="str">
        <f>LOWER(TRIM(CLEAN(tbl_survey_clean[[#This Row],[Komentar]])))</f>
        <v>pengiriman agak lama dari estimasi</v>
      </c>
      <c r="T144">
        <f>LEN(tbl_survey_clean[[#This Row],[Komentar_Clean]])</f>
        <v>34</v>
      </c>
      <c r="U144" t="str">
        <f t="shared" si="8"/>
        <v>Pengiriman</v>
      </c>
      <c r="V144" t="str">
        <f t="shared" si="9"/>
        <v>Negatif</v>
      </c>
      <c r="W144" s="6">
        <v>46121</v>
      </c>
      <c r="X144" t="s">
        <v>366</v>
      </c>
    </row>
    <row r="145" spans="1:24" hidden="1" x14ac:dyDescent="0.3">
      <c r="A145" t="s">
        <v>294</v>
      </c>
      <c r="B145" t="s">
        <v>86</v>
      </c>
      <c r="C145">
        <v>39</v>
      </c>
      <c r="D145" t="s">
        <v>20</v>
      </c>
      <c r="E145" t="s">
        <v>134</v>
      </c>
      <c r="F145" t="s">
        <v>73</v>
      </c>
      <c r="G145" t="s">
        <v>23</v>
      </c>
      <c r="H145">
        <v>22</v>
      </c>
      <c r="I145">
        <v>5</v>
      </c>
      <c r="J145">
        <v>5</v>
      </c>
      <c r="K145">
        <v>4</v>
      </c>
      <c r="L145">
        <v>2</v>
      </c>
      <c r="M145">
        <v>5</v>
      </c>
      <c r="N145" t="s">
        <v>33</v>
      </c>
      <c r="O145" t="s">
        <v>43</v>
      </c>
      <c r="P145" t="s">
        <v>108</v>
      </c>
      <c r="Q145">
        <v>2000000</v>
      </c>
      <c r="R145" t="s">
        <v>87</v>
      </c>
      <c r="S145" t="str">
        <f>LOWER(TRIM(CLEAN(tbl_survey_clean[[#This Row],[Komentar]])))</f>
        <v>perlu peningkatan pada packaging</v>
      </c>
      <c r="T145">
        <f>LEN(tbl_survey_clean[[#This Row],[Komentar_Clean]])</f>
        <v>32</v>
      </c>
      <c r="U145" t="str">
        <f t="shared" si="8"/>
        <v>Lainnya</v>
      </c>
      <c r="V145" t="str">
        <f t="shared" si="9"/>
        <v>Netral</v>
      </c>
      <c r="W145" s="6">
        <v>46120</v>
      </c>
      <c r="X145" t="s">
        <v>366</v>
      </c>
    </row>
    <row r="146" spans="1:24" hidden="1" x14ac:dyDescent="0.3">
      <c r="A146" t="s">
        <v>295</v>
      </c>
      <c r="B146" t="s">
        <v>68</v>
      </c>
      <c r="C146">
        <v>53</v>
      </c>
      <c r="D146" t="s">
        <v>30</v>
      </c>
      <c r="E146" t="s">
        <v>166</v>
      </c>
      <c r="F146" t="s">
        <v>125</v>
      </c>
      <c r="G146" t="s">
        <v>23</v>
      </c>
      <c r="H146">
        <v>20</v>
      </c>
      <c r="I146">
        <v>5</v>
      </c>
      <c r="J146">
        <v>2</v>
      </c>
      <c r="K146">
        <v>1</v>
      </c>
      <c r="L146">
        <v>3</v>
      </c>
      <c r="M146">
        <v>5</v>
      </c>
      <c r="N146" t="s">
        <v>33</v>
      </c>
      <c r="O146" t="s">
        <v>50</v>
      </c>
      <c r="P146" t="s">
        <v>51</v>
      </c>
      <c r="Q146">
        <v>100000</v>
      </c>
      <c r="R146" t="s">
        <v>87</v>
      </c>
      <c r="S146" t="str">
        <f>LOWER(TRIM(CLEAN(tbl_survey_clean[[#This Row],[Komentar]])))</f>
        <v>perlu peningkatan pada packaging</v>
      </c>
      <c r="T146">
        <f>LEN(tbl_survey_clean[[#This Row],[Komentar_Clean]])</f>
        <v>32</v>
      </c>
      <c r="U146" t="str">
        <f t="shared" si="8"/>
        <v>Lainnya</v>
      </c>
      <c r="V146" t="str">
        <f t="shared" si="9"/>
        <v>Netral</v>
      </c>
      <c r="W146" s="6">
        <v>46175</v>
      </c>
      <c r="X146" t="s">
        <v>368</v>
      </c>
    </row>
    <row r="147" spans="1:24" hidden="1" x14ac:dyDescent="0.3">
      <c r="A147" t="s">
        <v>296</v>
      </c>
      <c r="B147" t="s">
        <v>77</v>
      </c>
      <c r="C147">
        <v>21</v>
      </c>
      <c r="D147" t="s">
        <v>90</v>
      </c>
      <c r="E147" t="s">
        <v>31</v>
      </c>
      <c r="F147" t="s">
        <v>32</v>
      </c>
      <c r="G147" t="s">
        <v>23</v>
      </c>
      <c r="H147">
        <v>19</v>
      </c>
      <c r="I147">
        <v>2</v>
      </c>
      <c r="J147">
        <v>5</v>
      </c>
      <c r="K147">
        <v>5</v>
      </c>
      <c r="L147">
        <v>3</v>
      </c>
      <c r="M147">
        <v>0</v>
      </c>
      <c r="N147" t="s">
        <v>33</v>
      </c>
      <c r="O147" t="s">
        <v>34</v>
      </c>
      <c r="P147" t="s">
        <v>35</v>
      </c>
      <c r="Q147">
        <v>100000</v>
      </c>
      <c r="R147" t="s">
        <v>121</v>
      </c>
      <c r="S147" t="str">
        <f>LOWER(TRIM(CLEAN(tbl_survey_clean[[#This Row],[Komentar]])))</f>
        <v>ada beberapa produk yang tidak sesuai foto</v>
      </c>
      <c r="T147">
        <f>LEN(tbl_survey_clean[[#This Row],[Komentar_Clean]])</f>
        <v>42</v>
      </c>
      <c r="U147" t="str">
        <f t="shared" si="8"/>
        <v>Produk</v>
      </c>
      <c r="V147" t="str">
        <f t="shared" si="9"/>
        <v>Netral</v>
      </c>
      <c r="W147" s="6">
        <v>46142</v>
      </c>
      <c r="X147" t="s">
        <v>366</v>
      </c>
    </row>
    <row r="148" spans="1:24" hidden="1" x14ac:dyDescent="0.3">
      <c r="A148" t="s">
        <v>297</v>
      </c>
      <c r="B148" t="s">
        <v>215</v>
      </c>
      <c r="C148">
        <v>29</v>
      </c>
      <c r="D148" t="s">
        <v>54</v>
      </c>
      <c r="E148" t="s">
        <v>163</v>
      </c>
      <c r="F148" t="s">
        <v>373</v>
      </c>
      <c r="G148" t="s">
        <v>41</v>
      </c>
      <c r="H148">
        <v>14</v>
      </c>
      <c r="I148">
        <v>3</v>
      </c>
      <c r="J148">
        <v>4</v>
      </c>
      <c r="K148">
        <v>3</v>
      </c>
      <c r="L148">
        <v>2</v>
      </c>
      <c r="M148">
        <v>4</v>
      </c>
      <c r="N148" t="s">
        <v>33</v>
      </c>
      <c r="O148" t="s">
        <v>25</v>
      </c>
      <c r="P148" t="s">
        <v>35</v>
      </c>
      <c r="Q148">
        <v>2000000</v>
      </c>
      <c r="R148" t="s">
        <v>66</v>
      </c>
      <c r="S148" t="str">
        <f>LOWER(TRIM(CLEAN(tbl_survey_clean[[#This Row],[Komentar]])))</f>
        <v>susah dihubungi ketika ada masalah</v>
      </c>
      <c r="T148">
        <f>LEN(tbl_survey_clean[[#This Row],[Komentar_Clean]])</f>
        <v>34</v>
      </c>
      <c r="U148" t="str">
        <f t="shared" si="8"/>
        <v>Lainnya</v>
      </c>
      <c r="V148" t="str">
        <f t="shared" si="9"/>
        <v>Negatif</v>
      </c>
      <c r="W148" s="6">
        <v>46158</v>
      </c>
      <c r="X148" t="s">
        <v>367</v>
      </c>
    </row>
    <row r="149" spans="1:24" hidden="1" x14ac:dyDescent="0.3">
      <c r="A149" t="s">
        <v>298</v>
      </c>
      <c r="B149" t="s">
        <v>217</v>
      </c>
      <c r="C149">
        <v>62</v>
      </c>
      <c r="D149" t="s">
        <v>83</v>
      </c>
      <c r="E149" t="s">
        <v>78</v>
      </c>
      <c r="F149" t="s">
        <v>79</v>
      </c>
      <c r="G149" t="s">
        <v>23</v>
      </c>
      <c r="H149">
        <v>2</v>
      </c>
      <c r="I149">
        <v>5</v>
      </c>
      <c r="J149">
        <v>4</v>
      </c>
      <c r="K149">
        <v>5</v>
      </c>
      <c r="L149">
        <v>4</v>
      </c>
      <c r="M149">
        <v>8</v>
      </c>
      <c r="N149" t="s">
        <v>24</v>
      </c>
      <c r="O149" t="s">
        <v>69</v>
      </c>
      <c r="P149" t="s">
        <v>35</v>
      </c>
      <c r="Q149">
        <v>50000</v>
      </c>
      <c r="R149" t="s">
        <v>126</v>
      </c>
      <c r="S149" t="str">
        <f>LOWER(TRIM(CLEAN(tbl_survey_clean[[#This Row],[Komentar]])))</f>
        <v>sudah berlangganan 2 tahun, selalu puas</v>
      </c>
      <c r="T149">
        <f>LEN(tbl_survey_clean[[#This Row],[Komentar_Clean]])</f>
        <v>39</v>
      </c>
      <c r="U149" t="str">
        <f t="shared" si="8"/>
        <v>Lainnya</v>
      </c>
      <c r="V149" t="str">
        <f t="shared" si="9"/>
        <v>Positif</v>
      </c>
      <c r="W149" s="6">
        <v>46087</v>
      </c>
      <c r="X149" t="s">
        <v>365</v>
      </c>
    </row>
    <row r="150" spans="1:24" hidden="1" x14ac:dyDescent="0.3">
      <c r="A150" t="s">
        <v>299</v>
      </c>
      <c r="B150" t="s">
        <v>259</v>
      </c>
      <c r="C150">
        <v>41</v>
      </c>
      <c r="D150" t="s">
        <v>20</v>
      </c>
      <c r="E150" t="s">
        <v>142</v>
      </c>
      <c r="F150" t="s">
        <v>96</v>
      </c>
      <c r="G150" t="s">
        <v>41</v>
      </c>
      <c r="H150">
        <v>32</v>
      </c>
      <c r="I150">
        <v>5</v>
      </c>
      <c r="J150">
        <v>1</v>
      </c>
      <c r="K150">
        <v>2</v>
      </c>
      <c r="L150">
        <v>1</v>
      </c>
      <c r="M150">
        <v>10</v>
      </c>
      <c r="N150" t="s">
        <v>42</v>
      </c>
      <c r="O150" t="s">
        <v>50</v>
      </c>
      <c r="P150" t="s">
        <v>26</v>
      </c>
      <c r="Q150">
        <v>500000</v>
      </c>
      <c r="R150" t="s">
        <v>208</v>
      </c>
      <c r="S150" t="str">
        <f>LOWER(TRIM(CLEAN(tbl_survey_clean[[#This Row],[Komentar]])))</f>
        <v>produk sesuai deskripsi, tidak mengecewakan</v>
      </c>
      <c r="T150">
        <f>LEN(tbl_survey_clean[[#This Row],[Komentar_Clean]])</f>
        <v>43</v>
      </c>
      <c r="U150" t="str">
        <f t="shared" si="8"/>
        <v>Produk</v>
      </c>
      <c r="V150" t="str">
        <f t="shared" si="9"/>
        <v>Netral</v>
      </c>
      <c r="W150" s="6">
        <v>46164</v>
      </c>
      <c r="X150" t="s">
        <v>367</v>
      </c>
    </row>
    <row r="151" spans="1:24" hidden="1" x14ac:dyDescent="0.3">
      <c r="A151" t="s">
        <v>300</v>
      </c>
      <c r="B151" t="s">
        <v>183</v>
      </c>
      <c r="C151">
        <v>36</v>
      </c>
      <c r="D151" t="s">
        <v>20</v>
      </c>
      <c r="E151" t="s">
        <v>31</v>
      </c>
      <c r="F151" t="s">
        <v>32</v>
      </c>
      <c r="G151" t="s">
        <v>41</v>
      </c>
      <c r="H151">
        <v>24</v>
      </c>
      <c r="I151">
        <v>2</v>
      </c>
      <c r="J151">
        <v>3</v>
      </c>
      <c r="K151">
        <v>1</v>
      </c>
      <c r="L151">
        <v>2</v>
      </c>
      <c r="M151">
        <v>3</v>
      </c>
      <c r="N151" t="s">
        <v>33</v>
      </c>
      <c r="O151" t="s">
        <v>107</v>
      </c>
      <c r="P151" t="s">
        <v>108</v>
      </c>
      <c r="Q151">
        <v>50000</v>
      </c>
      <c r="R151" t="s">
        <v>87</v>
      </c>
      <c r="S151" t="str">
        <f>LOWER(TRIM(CLEAN(tbl_survey_clean[[#This Row],[Komentar]])))</f>
        <v>perlu peningkatan pada packaging</v>
      </c>
      <c r="T151">
        <f>LEN(tbl_survey_clean[[#This Row],[Komentar_Clean]])</f>
        <v>32</v>
      </c>
      <c r="U151" t="str">
        <f t="shared" si="8"/>
        <v>Lainnya</v>
      </c>
      <c r="V151" t="str">
        <f t="shared" si="9"/>
        <v>Netral</v>
      </c>
      <c r="W151" s="6">
        <v>46025</v>
      </c>
      <c r="X151" t="s">
        <v>363</v>
      </c>
    </row>
    <row r="152" spans="1:24" hidden="1" x14ac:dyDescent="0.3">
      <c r="A152" t="s">
        <v>301</v>
      </c>
      <c r="B152" t="s">
        <v>179</v>
      </c>
      <c r="C152">
        <v>42</v>
      </c>
      <c r="D152" t="s">
        <v>20</v>
      </c>
      <c r="E152" t="s">
        <v>55</v>
      </c>
      <c r="F152" t="s">
        <v>56</v>
      </c>
      <c r="G152" t="s">
        <v>41</v>
      </c>
      <c r="H152">
        <v>13</v>
      </c>
      <c r="I152">
        <v>3</v>
      </c>
      <c r="J152">
        <v>2</v>
      </c>
      <c r="K152">
        <v>4</v>
      </c>
      <c r="L152">
        <v>3</v>
      </c>
      <c r="M152">
        <v>2</v>
      </c>
      <c r="N152" t="s">
        <v>33</v>
      </c>
      <c r="O152" t="s">
        <v>107</v>
      </c>
      <c r="P152" t="s">
        <v>35</v>
      </c>
      <c r="Q152">
        <v>100000</v>
      </c>
      <c r="R152" t="s">
        <v>121</v>
      </c>
      <c r="S152" t="str">
        <f>LOWER(TRIM(CLEAN(tbl_survey_clean[[#This Row],[Komentar]])))</f>
        <v>ada beberapa produk yang tidak sesuai foto</v>
      </c>
      <c r="T152">
        <f>LEN(tbl_survey_clean[[#This Row],[Komentar_Clean]])</f>
        <v>42</v>
      </c>
      <c r="U152" t="str">
        <f t="shared" si="8"/>
        <v>Produk</v>
      </c>
      <c r="V152" t="str">
        <f t="shared" si="9"/>
        <v>Netral</v>
      </c>
      <c r="W152" s="6">
        <v>46197</v>
      </c>
      <c r="X152" t="s">
        <v>368</v>
      </c>
    </row>
    <row r="153" spans="1:24" hidden="1" x14ac:dyDescent="0.3">
      <c r="A153" t="s">
        <v>302</v>
      </c>
      <c r="B153" t="s">
        <v>94</v>
      </c>
      <c r="C153">
        <v>18</v>
      </c>
      <c r="D153" t="s">
        <v>90</v>
      </c>
      <c r="E153" t="s">
        <v>163</v>
      </c>
      <c r="F153" t="s">
        <v>373</v>
      </c>
      <c r="G153" t="s">
        <v>41</v>
      </c>
      <c r="H153">
        <v>14</v>
      </c>
      <c r="I153">
        <v>2</v>
      </c>
      <c r="J153">
        <v>3</v>
      </c>
      <c r="K153">
        <v>4</v>
      </c>
      <c r="L153">
        <v>5</v>
      </c>
      <c r="M153">
        <v>1</v>
      </c>
      <c r="N153" t="s">
        <v>33</v>
      </c>
      <c r="O153" t="s">
        <v>34</v>
      </c>
      <c r="P153" t="s">
        <v>35</v>
      </c>
      <c r="Q153">
        <v>50000</v>
      </c>
      <c r="R153" t="s">
        <v>121</v>
      </c>
      <c r="S153" t="str">
        <f>LOWER(TRIM(CLEAN(tbl_survey_clean[[#This Row],[Komentar]])))</f>
        <v>ada beberapa produk yang tidak sesuai foto</v>
      </c>
      <c r="T153">
        <f>LEN(tbl_survey_clean[[#This Row],[Komentar_Clean]])</f>
        <v>42</v>
      </c>
      <c r="U153" t="str">
        <f t="shared" si="8"/>
        <v>Produk</v>
      </c>
      <c r="V153" t="str">
        <f t="shared" si="9"/>
        <v>Netral</v>
      </c>
      <c r="W153" s="6">
        <v>46052</v>
      </c>
      <c r="X153" t="s">
        <v>363</v>
      </c>
    </row>
    <row r="154" spans="1:24" hidden="1" x14ac:dyDescent="0.3">
      <c r="A154" t="s">
        <v>303</v>
      </c>
      <c r="B154" t="s">
        <v>99</v>
      </c>
      <c r="C154">
        <v>46</v>
      </c>
      <c r="D154" t="s">
        <v>30</v>
      </c>
      <c r="E154" t="s">
        <v>55</v>
      </c>
      <c r="F154" t="s">
        <v>56</v>
      </c>
      <c r="G154" t="s">
        <v>41</v>
      </c>
      <c r="H154">
        <v>1</v>
      </c>
      <c r="I154">
        <v>4</v>
      </c>
      <c r="J154">
        <v>1</v>
      </c>
      <c r="K154">
        <v>1</v>
      </c>
      <c r="L154">
        <v>4</v>
      </c>
      <c r="M154">
        <v>7</v>
      </c>
      <c r="N154" t="s">
        <v>24</v>
      </c>
      <c r="O154" t="s">
        <v>50</v>
      </c>
      <c r="P154" t="s">
        <v>108</v>
      </c>
      <c r="Q154">
        <v>500000</v>
      </c>
      <c r="R154" t="s">
        <v>27</v>
      </c>
      <c r="S154" t="str">
        <f>LOWER(TRIM(CLEAN(tbl_survey_clean[[#This Row],[Komentar]])))</f>
        <v>perlu beberapa perbaikan minor</v>
      </c>
      <c r="T154">
        <f>LEN(tbl_survey_clean[[#This Row],[Komentar_Clean]])</f>
        <v>30</v>
      </c>
      <c r="U154" t="str">
        <f t="shared" si="8"/>
        <v>Lainnya</v>
      </c>
      <c r="V154" t="str">
        <f t="shared" si="9"/>
        <v>Negatif</v>
      </c>
      <c r="W154" s="6">
        <v>46197</v>
      </c>
      <c r="X154" t="s">
        <v>368</v>
      </c>
    </row>
    <row r="155" spans="1:24" hidden="1" x14ac:dyDescent="0.3">
      <c r="A155" t="s">
        <v>304</v>
      </c>
      <c r="B155" t="s">
        <v>110</v>
      </c>
      <c r="C155">
        <v>65</v>
      </c>
      <c r="D155" t="s">
        <v>83</v>
      </c>
      <c r="E155" t="s">
        <v>142</v>
      </c>
      <c r="F155" t="s">
        <v>96</v>
      </c>
      <c r="G155" t="s">
        <v>41</v>
      </c>
      <c r="H155">
        <v>24</v>
      </c>
      <c r="I155">
        <v>3</v>
      </c>
      <c r="J155">
        <v>2</v>
      </c>
      <c r="K155">
        <v>1</v>
      </c>
      <c r="L155">
        <v>2</v>
      </c>
      <c r="M155">
        <v>4</v>
      </c>
      <c r="N155" t="s">
        <v>33</v>
      </c>
      <c r="O155" t="s">
        <v>34</v>
      </c>
      <c r="P155" t="s">
        <v>35</v>
      </c>
      <c r="Q155">
        <v>100000</v>
      </c>
      <c r="R155" t="s">
        <v>80</v>
      </c>
      <c r="S155" t="str">
        <f>LOWER(TRIM(CLEAN(tbl_survey_clean[[#This Row],[Komentar]])))</f>
        <v>proses return barang terlalu ribet</v>
      </c>
      <c r="T155">
        <f>LEN(tbl_survey_clean[[#This Row],[Komentar_Clean]])</f>
        <v>34</v>
      </c>
      <c r="U155" t="str">
        <f t="shared" si="8"/>
        <v>Lainnya</v>
      </c>
      <c r="V155" t="str">
        <f t="shared" si="9"/>
        <v>Negatif</v>
      </c>
      <c r="W155" s="6">
        <v>46160</v>
      </c>
      <c r="X155" t="s">
        <v>367</v>
      </c>
    </row>
    <row r="156" spans="1:24" hidden="1" x14ac:dyDescent="0.3">
      <c r="A156" t="s">
        <v>305</v>
      </c>
      <c r="B156" t="s">
        <v>220</v>
      </c>
      <c r="C156">
        <v>52</v>
      </c>
      <c r="D156" t="s">
        <v>30</v>
      </c>
      <c r="E156" t="s">
        <v>48</v>
      </c>
      <c r="F156" t="s">
        <v>49</v>
      </c>
      <c r="G156" t="s">
        <v>41</v>
      </c>
      <c r="H156">
        <v>18</v>
      </c>
      <c r="I156">
        <v>3</v>
      </c>
      <c r="J156">
        <v>4</v>
      </c>
      <c r="K156">
        <v>2</v>
      </c>
      <c r="L156">
        <v>2</v>
      </c>
      <c r="M156">
        <v>0</v>
      </c>
      <c r="N156" t="s">
        <v>33</v>
      </c>
      <c r="O156" t="s">
        <v>34</v>
      </c>
      <c r="P156" t="s">
        <v>108</v>
      </c>
      <c r="Q156">
        <v>2000000</v>
      </c>
      <c r="R156" t="s">
        <v>121</v>
      </c>
      <c r="S156" t="str">
        <f>LOWER(TRIM(CLEAN(tbl_survey_clean[[#This Row],[Komentar]])))</f>
        <v>ada beberapa produk yang tidak sesuai foto</v>
      </c>
      <c r="T156">
        <f>LEN(tbl_survey_clean[[#This Row],[Komentar_Clean]])</f>
        <v>42</v>
      </c>
      <c r="U156" t="str">
        <f t="shared" si="8"/>
        <v>Produk</v>
      </c>
      <c r="V156" t="str">
        <f t="shared" si="9"/>
        <v>Netral</v>
      </c>
      <c r="W156" s="6">
        <v>46091</v>
      </c>
      <c r="X156" t="s">
        <v>365</v>
      </c>
    </row>
    <row r="157" spans="1:24" hidden="1" x14ac:dyDescent="0.3">
      <c r="A157" t="s">
        <v>306</v>
      </c>
      <c r="B157" t="s">
        <v>220</v>
      </c>
      <c r="C157">
        <v>21</v>
      </c>
      <c r="D157" t="s">
        <v>90</v>
      </c>
      <c r="E157" t="s">
        <v>55</v>
      </c>
      <c r="F157" t="s">
        <v>56</v>
      </c>
      <c r="G157" t="s">
        <v>23</v>
      </c>
      <c r="H157">
        <v>43</v>
      </c>
      <c r="I157">
        <v>5</v>
      </c>
      <c r="J157">
        <v>1</v>
      </c>
      <c r="K157">
        <v>1</v>
      </c>
      <c r="L157">
        <v>4</v>
      </c>
      <c r="M157">
        <v>2</v>
      </c>
      <c r="N157" t="s">
        <v>33</v>
      </c>
      <c r="O157" t="s">
        <v>43</v>
      </c>
      <c r="P157" t="s">
        <v>26</v>
      </c>
      <c r="Q157">
        <v>5000000</v>
      </c>
      <c r="R157" t="s">
        <v>121</v>
      </c>
      <c r="S157" t="str">
        <f>LOWER(TRIM(CLEAN(tbl_survey_clean[[#This Row],[Komentar]])))</f>
        <v>ada beberapa produk yang tidak sesuai foto</v>
      </c>
      <c r="T157">
        <f>LEN(tbl_survey_clean[[#This Row],[Komentar_Clean]])</f>
        <v>42</v>
      </c>
      <c r="U157" t="str">
        <f t="shared" si="8"/>
        <v>Produk</v>
      </c>
      <c r="V157" t="str">
        <f t="shared" si="9"/>
        <v>Netral</v>
      </c>
      <c r="W157" s="6">
        <v>46187</v>
      </c>
      <c r="X157" t="s">
        <v>368</v>
      </c>
    </row>
    <row r="158" spans="1:24" hidden="1" x14ac:dyDescent="0.3">
      <c r="A158" t="s">
        <v>307</v>
      </c>
      <c r="B158" t="s">
        <v>147</v>
      </c>
      <c r="C158">
        <v>63</v>
      </c>
      <c r="D158" t="s">
        <v>83</v>
      </c>
      <c r="E158" t="s">
        <v>160</v>
      </c>
      <c r="F158" t="s">
        <v>373</v>
      </c>
      <c r="G158" t="s">
        <v>23</v>
      </c>
      <c r="H158">
        <v>42</v>
      </c>
      <c r="I158">
        <v>4</v>
      </c>
      <c r="J158">
        <v>3</v>
      </c>
      <c r="K158">
        <v>5</v>
      </c>
      <c r="L158">
        <v>4</v>
      </c>
      <c r="M158">
        <v>1</v>
      </c>
      <c r="N158" t="s">
        <v>33</v>
      </c>
      <c r="O158" t="s">
        <v>25</v>
      </c>
      <c r="P158" t="s">
        <v>26</v>
      </c>
      <c r="Q158">
        <v>2000000</v>
      </c>
      <c r="R158" t="s">
        <v>66</v>
      </c>
      <c r="S158" t="str">
        <f>LOWER(TRIM(CLEAN(tbl_survey_clean[[#This Row],[Komentar]])))</f>
        <v>susah dihubungi ketika ada masalah</v>
      </c>
      <c r="T158">
        <f>LEN(tbl_survey_clean[[#This Row],[Komentar_Clean]])</f>
        <v>34</v>
      </c>
      <c r="U158" t="str">
        <f t="shared" si="8"/>
        <v>Lainnya</v>
      </c>
      <c r="V158" t="str">
        <f t="shared" si="9"/>
        <v>Negatif</v>
      </c>
      <c r="W158" s="6">
        <v>46110</v>
      </c>
      <c r="X158" t="s">
        <v>365</v>
      </c>
    </row>
    <row r="159" spans="1:24" hidden="1" x14ac:dyDescent="0.3">
      <c r="A159" t="s">
        <v>308</v>
      </c>
      <c r="B159" t="s">
        <v>94</v>
      </c>
      <c r="C159">
        <v>56</v>
      </c>
      <c r="D159" t="s">
        <v>83</v>
      </c>
      <c r="E159" t="s">
        <v>166</v>
      </c>
      <c r="F159" t="s">
        <v>125</v>
      </c>
      <c r="G159" t="s">
        <v>23</v>
      </c>
      <c r="H159">
        <v>41</v>
      </c>
      <c r="I159">
        <v>5</v>
      </c>
      <c r="J159">
        <v>2</v>
      </c>
      <c r="K159">
        <v>3</v>
      </c>
      <c r="L159">
        <v>1</v>
      </c>
      <c r="M159">
        <v>6</v>
      </c>
      <c r="N159" t="s">
        <v>33</v>
      </c>
      <c r="O159" t="s">
        <v>34</v>
      </c>
      <c r="P159" t="s">
        <v>51</v>
      </c>
      <c r="Q159">
        <v>1000000</v>
      </c>
      <c r="R159" t="s">
        <v>27</v>
      </c>
      <c r="S159" t="str">
        <f>LOWER(TRIM(CLEAN(tbl_survey_clean[[#This Row],[Komentar]])))</f>
        <v>perlu beberapa perbaikan minor</v>
      </c>
      <c r="T159">
        <f>LEN(tbl_survey_clean[[#This Row],[Komentar_Clean]])</f>
        <v>30</v>
      </c>
      <c r="U159" t="str">
        <f t="shared" si="8"/>
        <v>Lainnya</v>
      </c>
      <c r="V159" t="str">
        <f t="shared" si="9"/>
        <v>Negatif</v>
      </c>
      <c r="W159" s="6">
        <v>46051</v>
      </c>
      <c r="X159" t="s">
        <v>363</v>
      </c>
    </row>
    <row r="160" spans="1:24" hidden="1" x14ac:dyDescent="0.3">
      <c r="A160" t="s">
        <v>309</v>
      </c>
      <c r="B160" t="s">
        <v>59</v>
      </c>
      <c r="C160">
        <v>38</v>
      </c>
      <c r="D160" t="s">
        <v>20</v>
      </c>
      <c r="E160" t="s">
        <v>171</v>
      </c>
      <c r="F160" t="s">
        <v>79</v>
      </c>
      <c r="G160" t="s">
        <v>23</v>
      </c>
      <c r="H160">
        <v>3</v>
      </c>
      <c r="I160">
        <v>5</v>
      </c>
      <c r="J160">
        <v>1</v>
      </c>
      <c r="K160">
        <v>2</v>
      </c>
      <c r="L160">
        <v>2</v>
      </c>
      <c r="M160">
        <v>5</v>
      </c>
      <c r="N160" t="s">
        <v>33</v>
      </c>
      <c r="O160" t="s">
        <v>50</v>
      </c>
      <c r="P160" t="s">
        <v>51</v>
      </c>
      <c r="Q160">
        <v>5000000</v>
      </c>
      <c r="R160" t="s">
        <v>87</v>
      </c>
      <c r="S160" t="str">
        <f>LOWER(TRIM(CLEAN(tbl_survey_clean[[#This Row],[Komentar]])))</f>
        <v>perlu peningkatan pada packaging</v>
      </c>
      <c r="T160">
        <f>LEN(tbl_survey_clean[[#This Row],[Komentar_Clean]])</f>
        <v>32</v>
      </c>
      <c r="U160" t="str">
        <f t="shared" si="8"/>
        <v>Lainnya</v>
      </c>
      <c r="V160" t="str">
        <f t="shared" si="9"/>
        <v>Netral</v>
      </c>
      <c r="W160" s="6">
        <v>46098</v>
      </c>
      <c r="X160" t="s">
        <v>365</v>
      </c>
    </row>
    <row r="161" spans="1:24" hidden="1" x14ac:dyDescent="0.3">
      <c r="A161" t="s">
        <v>310</v>
      </c>
      <c r="B161" t="s">
        <v>47</v>
      </c>
      <c r="C161">
        <v>62</v>
      </c>
      <c r="D161" t="s">
        <v>83</v>
      </c>
      <c r="E161" t="s">
        <v>39</v>
      </c>
      <c r="F161" t="s">
        <v>40</v>
      </c>
      <c r="G161" t="s">
        <v>41</v>
      </c>
      <c r="H161">
        <v>41</v>
      </c>
      <c r="I161">
        <v>3</v>
      </c>
      <c r="J161">
        <v>5</v>
      </c>
      <c r="K161">
        <v>2</v>
      </c>
      <c r="L161">
        <v>2</v>
      </c>
      <c r="M161">
        <v>7</v>
      </c>
      <c r="N161" t="s">
        <v>24</v>
      </c>
      <c r="O161" t="s">
        <v>34</v>
      </c>
      <c r="P161" t="s">
        <v>44</v>
      </c>
      <c r="Q161">
        <v>100000</v>
      </c>
      <c r="R161" t="s">
        <v>92</v>
      </c>
      <c r="S161" t="str">
        <f>LOWER(TRIM(CLEAN(tbl_survey_clean[[#This Row],[Komentar]])))</f>
        <v>cukup baik untuk harganya</v>
      </c>
      <c r="T161">
        <f>LEN(tbl_survey_clean[[#This Row],[Komentar_Clean]])</f>
        <v>25</v>
      </c>
      <c r="U161" t="str">
        <f t="shared" si="8"/>
        <v>Harga</v>
      </c>
      <c r="V161" t="str">
        <f t="shared" si="9"/>
        <v>Netral</v>
      </c>
      <c r="W161" s="6">
        <v>46134</v>
      </c>
      <c r="X161" t="s">
        <v>366</v>
      </c>
    </row>
    <row r="162" spans="1:24" x14ac:dyDescent="0.3">
      <c r="A162" t="s">
        <v>311</v>
      </c>
      <c r="B162" t="s">
        <v>38</v>
      </c>
      <c r="C162">
        <v>22</v>
      </c>
      <c r="D162" t="s">
        <v>90</v>
      </c>
      <c r="E162" t="s">
        <v>21</v>
      </c>
      <c r="F162" t="s">
        <v>22</v>
      </c>
      <c r="G162" t="s">
        <v>23</v>
      </c>
      <c r="H162">
        <v>16</v>
      </c>
      <c r="I162">
        <v>1</v>
      </c>
      <c r="J162">
        <v>1</v>
      </c>
      <c r="K162">
        <v>5</v>
      </c>
      <c r="L162">
        <v>4</v>
      </c>
      <c r="M162">
        <v>8</v>
      </c>
      <c r="N162" t="s">
        <v>24</v>
      </c>
      <c r="O162" t="s">
        <v>69</v>
      </c>
      <c r="P162" t="s">
        <v>108</v>
      </c>
      <c r="Q162">
        <v>2000000</v>
      </c>
      <c r="R162" t="s">
        <v>62</v>
      </c>
      <c r="S162" t="str">
        <f>LOWER(TRIM(CLEAN(tbl_survey_clean[[#This Row],[Komentar]])))</f>
        <v>produk sangat berkualitas, saya puas!</v>
      </c>
      <c r="T162">
        <f>LEN(tbl_survey_clean[[#This Row],[Komentar_Clean]])</f>
        <v>37</v>
      </c>
      <c r="U162" t="str">
        <f t="shared" ref="U162:U193" si="10">IF(ISNUMBER(SEARCH("harga",S162)),"Harga",IF(ISNUMBER(SEARCH("pengiriman",S162)),"Pengiriman",IF(ISNUMBER(SEARCH("pelayanan",S162)),"Pelayanan",IF(ISNUMBER(SEARCH("produk",S162)),"Produk","Lainnya"))))</f>
        <v>Produk</v>
      </c>
      <c r="V162" t="str">
        <f t="shared" ref="V162:V193" si="11">IF(OR(ISNUMBER(SEARCH("puas",S162)),ISNUMBER(SEARCH("bagus",S162)),ISNUMBER(SEARCH("cepat",S162)),ISNUMBER(SEARCH("aman",S162))),"Positif",IF(OR(ISNUMBER(SEARCH("mahal",S162)),ISNUMBER(SEARCH("lama",S162)),ISNUMBER(SEARCH("buruk",S162)),ISNUMBER(SEARCH("susah",S162)),ISNUMBER(SEARCH("ribet",S162)),ISNUMBER(SEARCH("perbaikan",S162))),"Negatif","Netral"))</f>
        <v>Positif</v>
      </c>
      <c r="W162" s="6">
        <v>46063</v>
      </c>
      <c r="X162" t="s">
        <v>364</v>
      </c>
    </row>
    <row r="163" spans="1:24" hidden="1" x14ac:dyDescent="0.3">
      <c r="A163" t="s">
        <v>312</v>
      </c>
      <c r="B163" t="s">
        <v>104</v>
      </c>
      <c r="C163">
        <v>21</v>
      </c>
      <c r="D163" t="s">
        <v>90</v>
      </c>
      <c r="E163" t="s">
        <v>218</v>
      </c>
      <c r="F163" t="s">
        <v>373</v>
      </c>
      <c r="G163" t="s">
        <v>23</v>
      </c>
      <c r="H163">
        <v>15</v>
      </c>
      <c r="I163">
        <v>4</v>
      </c>
      <c r="J163">
        <v>1</v>
      </c>
      <c r="K163">
        <v>4</v>
      </c>
      <c r="L163">
        <v>3</v>
      </c>
      <c r="M163">
        <v>0</v>
      </c>
      <c r="N163" t="s">
        <v>33</v>
      </c>
      <c r="O163" t="s">
        <v>43</v>
      </c>
      <c r="P163" t="s">
        <v>108</v>
      </c>
      <c r="Q163">
        <v>1000000</v>
      </c>
      <c r="R163" t="s">
        <v>80</v>
      </c>
      <c r="S163" t="str">
        <f>LOWER(TRIM(CLEAN(tbl_survey_clean[[#This Row],[Komentar]])))</f>
        <v>proses return barang terlalu ribet</v>
      </c>
      <c r="T163">
        <f>LEN(tbl_survey_clean[[#This Row],[Komentar_Clean]])</f>
        <v>34</v>
      </c>
      <c r="U163" t="str">
        <f t="shared" si="10"/>
        <v>Lainnya</v>
      </c>
      <c r="V163" t="str">
        <f t="shared" si="11"/>
        <v>Negatif</v>
      </c>
      <c r="W163" s="6">
        <v>46139</v>
      </c>
      <c r="X163" t="s">
        <v>366</v>
      </c>
    </row>
    <row r="164" spans="1:24" hidden="1" x14ac:dyDescent="0.3">
      <c r="A164" t="s">
        <v>313</v>
      </c>
      <c r="B164" t="s">
        <v>145</v>
      </c>
      <c r="C164">
        <v>61</v>
      </c>
      <c r="D164" t="s">
        <v>83</v>
      </c>
      <c r="E164" t="s">
        <v>142</v>
      </c>
      <c r="F164" t="s">
        <v>96</v>
      </c>
      <c r="G164" t="s">
        <v>41</v>
      </c>
      <c r="H164">
        <v>7</v>
      </c>
      <c r="I164">
        <v>3</v>
      </c>
      <c r="J164">
        <v>2</v>
      </c>
      <c r="K164">
        <v>5</v>
      </c>
      <c r="L164">
        <v>3</v>
      </c>
      <c r="M164">
        <v>1</v>
      </c>
      <c r="N164" t="s">
        <v>33</v>
      </c>
      <c r="O164" t="s">
        <v>50</v>
      </c>
      <c r="P164" t="s">
        <v>51</v>
      </c>
      <c r="Q164">
        <v>100000</v>
      </c>
      <c r="R164" t="s">
        <v>66</v>
      </c>
      <c r="S164" t="str">
        <f>LOWER(TRIM(CLEAN(tbl_survey_clean[[#This Row],[Komentar]])))</f>
        <v>susah dihubungi ketika ada masalah</v>
      </c>
      <c r="T164">
        <f>LEN(tbl_survey_clean[[#This Row],[Komentar_Clean]])</f>
        <v>34</v>
      </c>
      <c r="U164" t="str">
        <f t="shared" si="10"/>
        <v>Lainnya</v>
      </c>
      <c r="V164" t="str">
        <f t="shared" si="11"/>
        <v>Negatif</v>
      </c>
      <c r="W164" s="6">
        <v>46023</v>
      </c>
      <c r="X164" t="s">
        <v>363</v>
      </c>
    </row>
    <row r="165" spans="1:24" hidden="1" x14ac:dyDescent="0.3">
      <c r="A165" t="s">
        <v>314</v>
      </c>
      <c r="B165" t="s">
        <v>259</v>
      </c>
      <c r="C165">
        <v>32</v>
      </c>
      <c r="D165" t="s">
        <v>54</v>
      </c>
      <c r="E165" t="s">
        <v>169</v>
      </c>
      <c r="F165" t="s">
        <v>49</v>
      </c>
      <c r="G165" t="s">
        <v>41</v>
      </c>
      <c r="H165">
        <v>24</v>
      </c>
      <c r="I165">
        <v>2</v>
      </c>
      <c r="J165">
        <v>5</v>
      </c>
      <c r="K165">
        <v>4</v>
      </c>
      <c r="L165">
        <v>2</v>
      </c>
      <c r="M165">
        <v>2</v>
      </c>
      <c r="N165" t="s">
        <v>33</v>
      </c>
      <c r="O165" t="s">
        <v>34</v>
      </c>
      <c r="P165" t="s">
        <v>44</v>
      </c>
      <c r="Q165">
        <v>5000000</v>
      </c>
      <c r="R165" t="s">
        <v>57</v>
      </c>
      <c r="S165" t="str">
        <f>LOWER(TRIM(CLEAN(tbl_survey_clean[[#This Row],[Komentar]])))</f>
        <v>pengiriman agak lama dari estimasi</v>
      </c>
      <c r="T165">
        <f>LEN(tbl_survey_clean[[#This Row],[Komentar_Clean]])</f>
        <v>34</v>
      </c>
      <c r="U165" t="str">
        <f t="shared" si="10"/>
        <v>Pengiriman</v>
      </c>
      <c r="V165" t="str">
        <f t="shared" si="11"/>
        <v>Negatif</v>
      </c>
      <c r="W165" s="6">
        <v>46090</v>
      </c>
      <c r="X165" t="s">
        <v>365</v>
      </c>
    </row>
    <row r="166" spans="1:24" hidden="1" x14ac:dyDescent="0.3">
      <c r="A166" t="s">
        <v>315</v>
      </c>
      <c r="B166" t="s">
        <v>120</v>
      </c>
      <c r="C166">
        <v>41</v>
      </c>
      <c r="D166" t="s">
        <v>20</v>
      </c>
      <c r="E166" t="s">
        <v>166</v>
      </c>
      <c r="F166" t="s">
        <v>125</v>
      </c>
      <c r="G166" t="s">
        <v>41</v>
      </c>
      <c r="H166">
        <v>48</v>
      </c>
      <c r="I166">
        <v>3</v>
      </c>
      <c r="J166">
        <v>3</v>
      </c>
      <c r="K166">
        <v>5</v>
      </c>
      <c r="L166">
        <v>4</v>
      </c>
      <c r="M166">
        <v>3</v>
      </c>
      <c r="N166" t="s">
        <v>33</v>
      </c>
      <c r="O166" t="s">
        <v>34</v>
      </c>
      <c r="P166" t="s">
        <v>26</v>
      </c>
      <c r="Q166">
        <v>2000000</v>
      </c>
      <c r="R166" t="s">
        <v>121</v>
      </c>
      <c r="S166" t="str">
        <f>LOWER(TRIM(CLEAN(tbl_survey_clean[[#This Row],[Komentar]])))</f>
        <v>ada beberapa produk yang tidak sesuai foto</v>
      </c>
      <c r="T166">
        <f>LEN(tbl_survey_clean[[#This Row],[Komentar_Clean]])</f>
        <v>42</v>
      </c>
      <c r="U166" t="str">
        <f t="shared" si="10"/>
        <v>Produk</v>
      </c>
      <c r="V166" t="str">
        <f t="shared" si="11"/>
        <v>Netral</v>
      </c>
      <c r="W166" s="6">
        <v>46151</v>
      </c>
      <c r="X166" t="s">
        <v>367</v>
      </c>
    </row>
    <row r="167" spans="1:24" x14ac:dyDescent="0.3">
      <c r="A167" t="s">
        <v>316</v>
      </c>
      <c r="B167" t="s">
        <v>317</v>
      </c>
      <c r="C167">
        <v>45</v>
      </c>
      <c r="D167" t="s">
        <v>30</v>
      </c>
      <c r="E167" t="s">
        <v>55</v>
      </c>
      <c r="F167" t="s">
        <v>56</v>
      </c>
      <c r="G167" t="s">
        <v>41</v>
      </c>
      <c r="H167">
        <v>1</v>
      </c>
      <c r="I167">
        <v>1</v>
      </c>
      <c r="J167">
        <v>3</v>
      </c>
      <c r="K167">
        <v>5</v>
      </c>
      <c r="L167">
        <v>5</v>
      </c>
      <c r="M167">
        <v>7</v>
      </c>
      <c r="N167" t="s">
        <v>24</v>
      </c>
      <c r="O167" t="s">
        <v>34</v>
      </c>
      <c r="P167" t="s">
        <v>44</v>
      </c>
      <c r="Q167">
        <v>250000</v>
      </c>
      <c r="R167" t="s">
        <v>27</v>
      </c>
      <c r="S167" t="str">
        <f>LOWER(TRIM(CLEAN(tbl_survey_clean[[#This Row],[Komentar]])))</f>
        <v>perlu beberapa perbaikan minor</v>
      </c>
      <c r="T167">
        <f>LEN(tbl_survey_clean[[#This Row],[Komentar_Clean]])</f>
        <v>30</v>
      </c>
      <c r="U167" t="str">
        <f t="shared" si="10"/>
        <v>Lainnya</v>
      </c>
      <c r="V167" t="str">
        <f t="shared" si="11"/>
        <v>Negatif</v>
      </c>
      <c r="W167" s="6">
        <v>46068</v>
      </c>
      <c r="X167" t="s">
        <v>364</v>
      </c>
    </row>
    <row r="168" spans="1:24" hidden="1" x14ac:dyDescent="0.3">
      <c r="A168" t="s">
        <v>318</v>
      </c>
      <c r="B168" t="s">
        <v>86</v>
      </c>
      <c r="C168">
        <v>56</v>
      </c>
      <c r="D168" t="s">
        <v>83</v>
      </c>
      <c r="E168" t="s">
        <v>60</v>
      </c>
      <c r="F168" t="s">
        <v>61</v>
      </c>
      <c r="G168" t="s">
        <v>23</v>
      </c>
      <c r="H168">
        <v>21</v>
      </c>
      <c r="I168">
        <v>4</v>
      </c>
      <c r="J168">
        <v>5</v>
      </c>
      <c r="K168">
        <v>3</v>
      </c>
      <c r="L168">
        <v>1</v>
      </c>
      <c r="M168">
        <v>9</v>
      </c>
      <c r="N168" t="s">
        <v>42</v>
      </c>
      <c r="O168" t="s">
        <v>50</v>
      </c>
      <c r="P168" t="s">
        <v>26</v>
      </c>
      <c r="Q168">
        <v>100000</v>
      </c>
      <c r="R168" t="s">
        <v>126</v>
      </c>
      <c r="S168" t="str">
        <f>LOWER(TRIM(CLEAN(tbl_survey_clean[[#This Row],[Komentar]])))</f>
        <v>sudah berlangganan 2 tahun, selalu puas</v>
      </c>
      <c r="T168">
        <f>LEN(tbl_survey_clean[[#This Row],[Komentar_Clean]])</f>
        <v>39</v>
      </c>
      <c r="U168" t="str">
        <f t="shared" si="10"/>
        <v>Lainnya</v>
      </c>
      <c r="V168" t="str">
        <f t="shared" si="11"/>
        <v>Positif</v>
      </c>
      <c r="W168" s="6">
        <v>46152</v>
      </c>
      <c r="X168" t="s">
        <v>367</v>
      </c>
    </row>
    <row r="169" spans="1:24" hidden="1" x14ac:dyDescent="0.3">
      <c r="A169" t="s">
        <v>319</v>
      </c>
      <c r="B169" t="s">
        <v>145</v>
      </c>
      <c r="C169">
        <v>42</v>
      </c>
      <c r="D169" t="s">
        <v>20</v>
      </c>
      <c r="E169" t="s">
        <v>95</v>
      </c>
      <c r="F169" t="s">
        <v>96</v>
      </c>
      <c r="G169" t="s">
        <v>23</v>
      </c>
      <c r="H169">
        <v>15</v>
      </c>
      <c r="I169">
        <v>4</v>
      </c>
      <c r="J169">
        <v>2</v>
      </c>
      <c r="K169">
        <v>2</v>
      </c>
      <c r="L169">
        <v>5</v>
      </c>
      <c r="M169">
        <v>5</v>
      </c>
      <c r="N169" t="s">
        <v>33</v>
      </c>
      <c r="O169" t="s">
        <v>50</v>
      </c>
      <c r="P169" t="s">
        <v>51</v>
      </c>
      <c r="Q169">
        <v>250000</v>
      </c>
      <c r="R169" t="s">
        <v>66</v>
      </c>
      <c r="S169" t="str">
        <f>LOWER(TRIM(CLEAN(tbl_survey_clean[[#This Row],[Komentar]])))</f>
        <v>susah dihubungi ketika ada masalah</v>
      </c>
      <c r="T169">
        <f>LEN(tbl_survey_clean[[#This Row],[Komentar_Clean]])</f>
        <v>34</v>
      </c>
      <c r="U169" t="str">
        <f t="shared" si="10"/>
        <v>Lainnya</v>
      </c>
      <c r="V169" t="str">
        <f t="shared" si="11"/>
        <v>Negatif</v>
      </c>
      <c r="W169" s="6">
        <v>46050</v>
      </c>
      <c r="X169" t="s">
        <v>363</v>
      </c>
    </row>
    <row r="170" spans="1:24" hidden="1" x14ac:dyDescent="0.3">
      <c r="A170" t="s">
        <v>320</v>
      </c>
      <c r="B170" t="s">
        <v>102</v>
      </c>
      <c r="C170">
        <v>27</v>
      </c>
      <c r="D170" t="s">
        <v>54</v>
      </c>
      <c r="E170" t="s">
        <v>72</v>
      </c>
      <c r="F170" t="s">
        <v>73</v>
      </c>
      <c r="G170" t="s">
        <v>41</v>
      </c>
      <c r="H170">
        <v>26</v>
      </c>
      <c r="I170">
        <v>3</v>
      </c>
      <c r="J170">
        <v>5</v>
      </c>
      <c r="K170">
        <v>2</v>
      </c>
      <c r="L170">
        <v>1</v>
      </c>
      <c r="M170">
        <v>6</v>
      </c>
      <c r="N170" t="s">
        <v>33</v>
      </c>
      <c r="O170" t="s">
        <v>34</v>
      </c>
      <c r="P170" t="s">
        <v>108</v>
      </c>
      <c r="Q170">
        <v>250000</v>
      </c>
      <c r="R170" t="s">
        <v>84</v>
      </c>
      <c r="S170" t="str">
        <f>LOWER(TRIM(CLEAN(tbl_survey_clean[[#This Row],[Komentar]])))</f>
        <v>standar saja, tidak ada yang istimewa</v>
      </c>
      <c r="T170">
        <f>LEN(tbl_survey_clean[[#This Row],[Komentar_Clean]])</f>
        <v>37</v>
      </c>
      <c r="U170" t="str">
        <f t="shared" si="10"/>
        <v>Lainnya</v>
      </c>
      <c r="V170" t="str">
        <f t="shared" si="11"/>
        <v>Netral</v>
      </c>
      <c r="W170" s="6">
        <v>46183</v>
      </c>
      <c r="X170" t="s">
        <v>368</v>
      </c>
    </row>
    <row r="171" spans="1:24" hidden="1" x14ac:dyDescent="0.3">
      <c r="A171" t="s">
        <v>321</v>
      </c>
      <c r="B171" t="s">
        <v>189</v>
      </c>
      <c r="C171">
        <v>58</v>
      </c>
      <c r="D171" t="s">
        <v>83</v>
      </c>
      <c r="E171" t="s">
        <v>21</v>
      </c>
      <c r="F171" t="s">
        <v>22</v>
      </c>
      <c r="G171" t="s">
        <v>23</v>
      </c>
      <c r="H171">
        <v>8</v>
      </c>
      <c r="I171">
        <v>3</v>
      </c>
      <c r="J171">
        <v>5</v>
      </c>
      <c r="K171">
        <v>2</v>
      </c>
      <c r="L171">
        <v>2</v>
      </c>
      <c r="M171">
        <v>9</v>
      </c>
      <c r="N171" t="s">
        <v>42</v>
      </c>
      <c r="O171" t="s">
        <v>34</v>
      </c>
      <c r="P171" t="s">
        <v>44</v>
      </c>
      <c r="Q171">
        <v>50000</v>
      </c>
      <c r="R171" t="s">
        <v>45</v>
      </c>
      <c r="S171" t="str">
        <f>LOWER(TRIM(CLEAN(tbl_survey_clean[[#This Row],[Komentar]])))</f>
        <v>harga terjangkau untuk kualitas segini</v>
      </c>
      <c r="T171">
        <f>LEN(tbl_survey_clean[[#This Row],[Komentar_Clean]])</f>
        <v>38</v>
      </c>
      <c r="U171" t="str">
        <f t="shared" si="10"/>
        <v>Harga</v>
      </c>
      <c r="V171" t="str">
        <f t="shared" si="11"/>
        <v>Netral</v>
      </c>
      <c r="W171" s="6">
        <v>46099</v>
      </c>
      <c r="X171" t="s">
        <v>365</v>
      </c>
    </row>
    <row r="172" spans="1:24" hidden="1" x14ac:dyDescent="0.3">
      <c r="A172" t="s">
        <v>322</v>
      </c>
      <c r="B172" t="s">
        <v>128</v>
      </c>
      <c r="C172">
        <v>37</v>
      </c>
      <c r="D172" t="s">
        <v>20</v>
      </c>
      <c r="E172" t="s">
        <v>323</v>
      </c>
      <c r="F172" t="s">
        <v>22</v>
      </c>
      <c r="G172" t="s">
        <v>41</v>
      </c>
      <c r="H172">
        <v>30</v>
      </c>
      <c r="I172">
        <v>3</v>
      </c>
      <c r="J172">
        <v>5</v>
      </c>
      <c r="K172">
        <v>4</v>
      </c>
      <c r="L172">
        <v>2</v>
      </c>
      <c r="M172">
        <v>6</v>
      </c>
      <c r="N172" t="s">
        <v>33</v>
      </c>
      <c r="O172" t="s">
        <v>69</v>
      </c>
      <c r="P172" t="s">
        <v>51</v>
      </c>
      <c r="Q172">
        <v>2000000</v>
      </c>
      <c r="R172" t="s">
        <v>92</v>
      </c>
      <c r="S172" t="str">
        <f>LOWER(TRIM(CLEAN(tbl_survey_clean[[#This Row],[Komentar]])))</f>
        <v>cukup baik untuk harganya</v>
      </c>
      <c r="T172">
        <f>LEN(tbl_survey_clean[[#This Row],[Komentar_Clean]])</f>
        <v>25</v>
      </c>
      <c r="U172" t="str">
        <f t="shared" si="10"/>
        <v>Harga</v>
      </c>
      <c r="V172" t="str">
        <f t="shared" si="11"/>
        <v>Netral</v>
      </c>
      <c r="W172" s="6">
        <v>46186</v>
      </c>
      <c r="X172" t="s">
        <v>368</v>
      </c>
    </row>
    <row r="173" spans="1:24" hidden="1" x14ac:dyDescent="0.3">
      <c r="A173" t="s">
        <v>324</v>
      </c>
      <c r="B173" t="s">
        <v>68</v>
      </c>
      <c r="C173">
        <v>63</v>
      </c>
      <c r="D173" t="s">
        <v>83</v>
      </c>
      <c r="E173" t="s">
        <v>323</v>
      </c>
      <c r="F173" t="s">
        <v>22</v>
      </c>
      <c r="G173" t="s">
        <v>41</v>
      </c>
      <c r="H173">
        <v>22</v>
      </c>
      <c r="I173">
        <v>3</v>
      </c>
      <c r="J173">
        <v>2</v>
      </c>
      <c r="K173">
        <v>1</v>
      </c>
      <c r="L173">
        <v>4</v>
      </c>
      <c r="M173">
        <v>6</v>
      </c>
      <c r="N173" t="s">
        <v>33</v>
      </c>
      <c r="O173" t="s">
        <v>69</v>
      </c>
      <c r="P173" t="s">
        <v>108</v>
      </c>
      <c r="Q173">
        <v>2000000</v>
      </c>
      <c r="R173" t="s">
        <v>84</v>
      </c>
      <c r="S173" t="str">
        <f>LOWER(TRIM(CLEAN(tbl_survey_clean[[#This Row],[Komentar]])))</f>
        <v>standar saja, tidak ada yang istimewa</v>
      </c>
      <c r="T173">
        <f>LEN(tbl_survey_clean[[#This Row],[Komentar_Clean]])</f>
        <v>37</v>
      </c>
      <c r="U173" t="str">
        <f t="shared" si="10"/>
        <v>Lainnya</v>
      </c>
      <c r="V173" t="str">
        <f t="shared" si="11"/>
        <v>Netral</v>
      </c>
      <c r="W173" s="6">
        <v>46152</v>
      </c>
      <c r="X173" t="s">
        <v>367</v>
      </c>
    </row>
    <row r="174" spans="1:24" hidden="1" x14ac:dyDescent="0.3">
      <c r="A174" t="s">
        <v>325</v>
      </c>
      <c r="B174" t="s">
        <v>102</v>
      </c>
      <c r="C174">
        <v>29</v>
      </c>
      <c r="D174" t="s">
        <v>54</v>
      </c>
      <c r="E174" t="s">
        <v>72</v>
      </c>
      <c r="F174" t="s">
        <v>73</v>
      </c>
      <c r="G174" t="s">
        <v>41</v>
      </c>
      <c r="H174">
        <v>18</v>
      </c>
      <c r="I174">
        <v>2</v>
      </c>
      <c r="J174">
        <v>1</v>
      </c>
      <c r="K174">
        <v>2</v>
      </c>
      <c r="L174">
        <v>5</v>
      </c>
      <c r="M174">
        <v>0</v>
      </c>
      <c r="N174" t="s">
        <v>33</v>
      </c>
      <c r="O174" t="s">
        <v>69</v>
      </c>
      <c r="P174" t="s">
        <v>35</v>
      </c>
      <c r="Q174">
        <v>1000000</v>
      </c>
      <c r="R174" t="s">
        <v>57</v>
      </c>
      <c r="S174" t="str">
        <f>LOWER(TRIM(CLEAN(tbl_survey_clean[[#This Row],[Komentar]])))</f>
        <v>pengiriman agak lama dari estimasi</v>
      </c>
      <c r="T174">
        <f>LEN(tbl_survey_clean[[#This Row],[Komentar_Clean]])</f>
        <v>34</v>
      </c>
      <c r="U174" t="str">
        <f t="shared" si="10"/>
        <v>Pengiriman</v>
      </c>
      <c r="V174" t="str">
        <f t="shared" si="11"/>
        <v>Negatif</v>
      </c>
      <c r="W174" s="6">
        <v>46178</v>
      </c>
      <c r="X174" t="s">
        <v>368</v>
      </c>
    </row>
    <row r="175" spans="1:24" x14ac:dyDescent="0.3">
      <c r="A175" t="s">
        <v>326</v>
      </c>
      <c r="B175" t="s">
        <v>123</v>
      </c>
      <c r="C175">
        <v>28</v>
      </c>
      <c r="D175" t="s">
        <v>54</v>
      </c>
      <c r="E175" t="s">
        <v>129</v>
      </c>
      <c r="F175" t="s">
        <v>130</v>
      </c>
      <c r="G175" t="s">
        <v>41</v>
      </c>
      <c r="H175">
        <v>19</v>
      </c>
      <c r="I175">
        <v>2</v>
      </c>
      <c r="J175">
        <v>1</v>
      </c>
      <c r="K175">
        <v>2</v>
      </c>
      <c r="L175">
        <v>1</v>
      </c>
      <c r="M175">
        <v>5</v>
      </c>
      <c r="N175" t="s">
        <v>33</v>
      </c>
      <c r="O175" t="s">
        <v>69</v>
      </c>
      <c r="P175" t="s">
        <v>26</v>
      </c>
      <c r="Q175">
        <v>1000000</v>
      </c>
      <c r="R175" t="s">
        <v>80</v>
      </c>
      <c r="S175" t="str">
        <f>LOWER(TRIM(CLEAN(tbl_survey_clean[[#This Row],[Komentar]])))</f>
        <v>proses return barang terlalu ribet</v>
      </c>
      <c r="T175">
        <f>LEN(tbl_survey_clean[[#This Row],[Komentar_Clean]])</f>
        <v>34</v>
      </c>
      <c r="U175" t="str">
        <f t="shared" si="10"/>
        <v>Lainnya</v>
      </c>
      <c r="V175" t="str">
        <f t="shared" si="11"/>
        <v>Negatif</v>
      </c>
      <c r="W175" s="6">
        <v>46073</v>
      </c>
      <c r="X175" t="s">
        <v>364</v>
      </c>
    </row>
    <row r="176" spans="1:24" x14ac:dyDescent="0.3">
      <c r="A176" t="s">
        <v>327</v>
      </c>
      <c r="B176" t="s">
        <v>75</v>
      </c>
      <c r="C176">
        <v>44</v>
      </c>
      <c r="D176" t="s">
        <v>20</v>
      </c>
      <c r="E176" t="s">
        <v>64</v>
      </c>
      <c r="F176" t="s">
        <v>65</v>
      </c>
      <c r="G176" t="s">
        <v>41</v>
      </c>
      <c r="H176">
        <v>1</v>
      </c>
      <c r="I176">
        <v>5</v>
      </c>
      <c r="J176">
        <v>4</v>
      </c>
      <c r="K176">
        <v>5</v>
      </c>
      <c r="L176">
        <v>4</v>
      </c>
      <c r="M176">
        <v>6</v>
      </c>
      <c r="N176" t="s">
        <v>33</v>
      </c>
      <c r="O176" t="s">
        <v>107</v>
      </c>
      <c r="P176" t="s">
        <v>26</v>
      </c>
      <c r="Q176">
        <v>50000</v>
      </c>
      <c r="R176" t="s">
        <v>27</v>
      </c>
      <c r="S176" t="str">
        <f>LOWER(TRIM(CLEAN(tbl_survey_clean[[#This Row],[Komentar]])))</f>
        <v>perlu beberapa perbaikan minor</v>
      </c>
      <c r="T176">
        <f>LEN(tbl_survey_clean[[#This Row],[Komentar_Clean]])</f>
        <v>30</v>
      </c>
      <c r="U176" t="str">
        <f t="shared" si="10"/>
        <v>Lainnya</v>
      </c>
      <c r="V176" t="str">
        <f t="shared" si="11"/>
        <v>Negatif</v>
      </c>
      <c r="W176" s="6">
        <v>46062</v>
      </c>
      <c r="X176" t="s">
        <v>364</v>
      </c>
    </row>
    <row r="177" spans="1:24" hidden="1" x14ac:dyDescent="0.3">
      <c r="A177" t="s">
        <v>328</v>
      </c>
      <c r="B177" t="s">
        <v>329</v>
      </c>
      <c r="C177">
        <v>51</v>
      </c>
      <c r="D177" t="s">
        <v>30</v>
      </c>
      <c r="E177" t="s">
        <v>200</v>
      </c>
      <c r="F177" t="s">
        <v>56</v>
      </c>
      <c r="G177" t="s">
        <v>41</v>
      </c>
      <c r="H177">
        <v>1</v>
      </c>
      <c r="I177">
        <v>1</v>
      </c>
      <c r="J177">
        <v>4</v>
      </c>
      <c r="K177">
        <v>3</v>
      </c>
      <c r="L177">
        <v>3</v>
      </c>
      <c r="M177">
        <v>2</v>
      </c>
      <c r="N177" t="s">
        <v>33</v>
      </c>
      <c r="O177" t="s">
        <v>107</v>
      </c>
      <c r="P177" t="s">
        <v>108</v>
      </c>
      <c r="Q177">
        <v>50000</v>
      </c>
      <c r="R177" t="s">
        <v>80</v>
      </c>
      <c r="S177" t="str">
        <f>LOWER(TRIM(CLEAN(tbl_survey_clean[[#This Row],[Komentar]])))</f>
        <v>proses return barang terlalu ribet</v>
      </c>
      <c r="T177">
        <f>LEN(tbl_survey_clean[[#This Row],[Komentar_Clean]])</f>
        <v>34</v>
      </c>
      <c r="U177" t="str">
        <f t="shared" si="10"/>
        <v>Lainnya</v>
      </c>
      <c r="V177" t="str">
        <f t="shared" si="11"/>
        <v>Negatif</v>
      </c>
      <c r="W177" s="6">
        <v>46118</v>
      </c>
      <c r="X177" t="s">
        <v>366</v>
      </c>
    </row>
    <row r="178" spans="1:24" x14ac:dyDescent="0.3">
      <c r="A178" t="s">
        <v>330</v>
      </c>
      <c r="B178" t="s">
        <v>71</v>
      </c>
      <c r="C178">
        <v>57</v>
      </c>
      <c r="D178" t="s">
        <v>83</v>
      </c>
      <c r="E178" t="s">
        <v>331</v>
      </c>
      <c r="F178" t="s">
        <v>106</v>
      </c>
      <c r="G178" t="s">
        <v>23</v>
      </c>
      <c r="H178">
        <v>48</v>
      </c>
      <c r="I178">
        <v>5</v>
      </c>
      <c r="J178">
        <v>4</v>
      </c>
      <c r="K178">
        <v>2</v>
      </c>
      <c r="L178">
        <v>3</v>
      </c>
      <c r="M178">
        <v>8</v>
      </c>
      <c r="N178" t="s">
        <v>24</v>
      </c>
      <c r="O178" t="s">
        <v>25</v>
      </c>
      <c r="P178" t="s">
        <v>51</v>
      </c>
      <c r="Q178">
        <v>500000</v>
      </c>
      <c r="R178" t="s">
        <v>45</v>
      </c>
      <c r="S178" t="str">
        <f>LOWER(TRIM(CLEAN(tbl_survey_clean[[#This Row],[Komentar]])))</f>
        <v>harga terjangkau untuk kualitas segini</v>
      </c>
      <c r="T178">
        <f>LEN(tbl_survey_clean[[#This Row],[Komentar_Clean]])</f>
        <v>38</v>
      </c>
      <c r="U178" t="str">
        <f t="shared" si="10"/>
        <v>Harga</v>
      </c>
      <c r="V178" t="str">
        <f t="shared" si="11"/>
        <v>Netral</v>
      </c>
      <c r="W178" s="6">
        <v>46064</v>
      </c>
      <c r="X178" t="s">
        <v>364</v>
      </c>
    </row>
    <row r="179" spans="1:24" hidden="1" x14ac:dyDescent="0.3">
      <c r="A179" t="s">
        <v>332</v>
      </c>
      <c r="B179" t="s">
        <v>247</v>
      </c>
      <c r="C179">
        <v>64</v>
      </c>
      <c r="D179" t="s">
        <v>83</v>
      </c>
      <c r="E179" t="s">
        <v>169</v>
      </c>
      <c r="F179" t="s">
        <v>49</v>
      </c>
      <c r="G179" t="s">
        <v>41</v>
      </c>
      <c r="H179">
        <v>43</v>
      </c>
      <c r="I179">
        <v>1</v>
      </c>
      <c r="J179">
        <v>5</v>
      </c>
      <c r="K179">
        <v>4</v>
      </c>
      <c r="L179">
        <v>2</v>
      </c>
      <c r="M179">
        <v>3</v>
      </c>
      <c r="N179" t="s">
        <v>33</v>
      </c>
      <c r="O179" t="s">
        <v>69</v>
      </c>
      <c r="P179" t="s">
        <v>51</v>
      </c>
      <c r="Q179">
        <v>100000</v>
      </c>
      <c r="R179" t="s">
        <v>36</v>
      </c>
      <c r="S179" t="str">
        <f>LOWER(TRIM(CLEAN(tbl_survey_clean[[#This Row],[Komentar]])))</f>
        <v>harga naik tapi kualitas sama saja</v>
      </c>
      <c r="T179">
        <f>LEN(tbl_survey_clean[[#This Row],[Komentar_Clean]])</f>
        <v>34</v>
      </c>
      <c r="U179" t="str">
        <f t="shared" si="10"/>
        <v>Harga</v>
      </c>
      <c r="V179" t="str">
        <f t="shared" si="11"/>
        <v>Netral</v>
      </c>
      <c r="W179" s="6">
        <v>46161</v>
      </c>
      <c r="X179" t="s">
        <v>367</v>
      </c>
    </row>
    <row r="180" spans="1:24" hidden="1" x14ac:dyDescent="0.3">
      <c r="A180" t="s">
        <v>333</v>
      </c>
      <c r="B180" t="s">
        <v>259</v>
      </c>
      <c r="C180">
        <v>28</v>
      </c>
      <c r="D180" t="s">
        <v>54</v>
      </c>
      <c r="E180" t="s">
        <v>140</v>
      </c>
      <c r="F180" t="s">
        <v>40</v>
      </c>
      <c r="G180" t="s">
        <v>41</v>
      </c>
      <c r="H180">
        <v>5</v>
      </c>
      <c r="I180">
        <v>1</v>
      </c>
      <c r="J180">
        <v>2</v>
      </c>
      <c r="K180">
        <v>2</v>
      </c>
      <c r="L180">
        <v>1</v>
      </c>
      <c r="M180">
        <v>4</v>
      </c>
      <c r="N180" t="s">
        <v>33</v>
      </c>
      <c r="O180" t="s">
        <v>107</v>
      </c>
      <c r="P180" t="s">
        <v>26</v>
      </c>
      <c r="Q180">
        <v>50000</v>
      </c>
      <c r="R180" t="s">
        <v>80</v>
      </c>
      <c r="S180" t="str">
        <f>LOWER(TRIM(CLEAN(tbl_survey_clean[[#This Row],[Komentar]])))</f>
        <v>proses return barang terlalu ribet</v>
      </c>
      <c r="T180">
        <f>LEN(tbl_survey_clean[[#This Row],[Komentar_Clean]])</f>
        <v>34</v>
      </c>
      <c r="U180" t="str">
        <f t="shared" si="10"/>
        <v>Lainnya</v>
      </c>
      <c r="V180" t="str">
        <f t="shared" si="11"/>
        <v>Negatif</v>
      </c>
      <c r="W180" s="6">
        <v>46158</v>
      </c>
      <c r="X180" t="s">
        <v>367</v>
      </c>
    </row>
    <row r="181" spans="1:24" hidden="1" x14ac:dyDescent="0.3">
      <c r="A181" t="s">
        <v>334</v>
      </c>
      <c r="B181" t="s">
        <v>159</v>
      </c>
      <c r="C181">
        <v>24</v>
      </c>
      <c r="D181" t="s">
        <v>90</v>
      </c>
      <c r="E181" t="s">
        <v>64</v>
      </c>
      <c r="F181" t="s">
        <v>65</v>
      </c>
      <c r="G181" t="s">
        <v>23</v>
      </c>
      <c r="H181">
        <v>31</v>
      </c>
      <c r="I181">
        <v>3</v>
      </c>
      <c r="J181">
        <v>4</v>
      </c>
      <c r="K181">
        <v>5</v>
      </c>
      <c r="L181">
        <v>5</v>
      </c>
      <c r="M181">
        <v>1</v>
      </c>
      <c r="N181" t="s">
        <v>33</v>
      </c>
      <c r="O181" t="s">
        <v>34</v>
      </c>
      <c r="P181" t="s">
        <v>51</v>
      </c>
      <c r="Q181">
        <v>5000000</v>
      </c>
      <c r="R181" t="s">
        <v>57</v>
      </c>
      <c r="S181" t="str">
        <f>LOWER(TRIM(CLEAN(tbl_survey_clean[[#This Row],[Komentar]])))</f>
        <v>pengiriman agak lama dari estimasi</v>
      </c>
      <c r="T181">
        <f>LEN(tbl_survey_clean[[#This Row],[Komentar_Clean]])</f>
        <v>34</v>
      </c>
      <c r="U181" t="str">
        <f t="shared" si="10"/>
        <v>Pengiriman</v>
      </c>
      <c r="V181" t="str">
        <f t="shared" si="11"/>
        <v>Negatif</v>
      </c>
      <c r="W181" s="6">
        <v>46023</v>
      </c>
      <c r="X181" t="s">
        <v>363</v>
      </c>
    </row>
    <row r="182" spans="1:24" hidden="1" x14ac:dyDescent="0.3">
      <c r="A182" t="s">
        <v>335</v>
      </c>
      <c r="B182" t="s">
        <v>239</v>
      </c>
      <c r="C182">
        <v>53</v>
      </c>
      <c r="D182" t="s">
        <v>30</v>
      </c>
      <c r="E182" t="s">
        <v>142</v>
      </c>
      <c r="F182" t="s">
        <v>96</v>
      </c>
      <c r="G182" t="s">
        <v>41</v>
      </c>
      <c r="H182">
        <v>48</v>
      </c>
      <c r="I182">
        <v>5</v>
      </c>
      <c r="J182">
        <v>1</v>
      </c>
      <c r="K182">
        <v>2</v>
      </c>
      <c r="L182">
        <v>5</v>
      </c>
      <c r="M182">
        <v>3</v>
      </c>
      <c r="N182" t="s">
        <v>33</v>
      </c>
      <c r="O182" t="s">
        <v>34</v>
      </c>
      <c r="P182" t="s">
        <v>51</v>
      </c>
      <c r="Q182">
        <v>1000000</v>
      </c>
      <c r="R182" t="s">
        <v>57</v>
      </c>
      <c r="S182" t="str">
        <f>LOWER(TRIM(CLEAN(tbl_survey_clean[[#This Row],[Komentar]])))</f>
        <v>pengiriman agak lama dari estimasi</v>
      </c>
      <c r="T182">
        <f>LEN(tbl_survey_clean[[#This Row],[Komentar_Clean]])</f>
        <v>34</v>
      </c>
      <c r="U182" t="str">
        <f t="shared" si="10"/>
        <v>Pengiriman</v>
      </c>
      <c r="V182" t="str">
        <f t="shared" si="11"/>
        <v>Negatif</v>
      </c>
      <c r="W182" s="6">
        <v>46176</v>
      </c>
      <c r="X182" t="s">
        <v>368</v>
      </c>
    </row>
    <row r="183" spans="1:24" hidden="1" x14ac:dyDescent="0.3">
      <c r="A183" t="s">
        <v>336</v>
      </c>
      <c r="B183" t="s">
        <v>102</v>
      </c>
      <c r="C183">
        <v>18</v>
      </c>
      <c r="D183" t="s">
        <v>90</v>
      </c>
      <c r="E183" t="s">
        <v>124</v>
      </c>
      <c r="F183" t="s">
        <v>125</v>
      </c>
      <c r="G183" t="s">
        <v>23</v>
      </c>
      <c r="H183">
        <v>48</v>
      </c>
      <c r="I183">
        <v>2</v>
      </c>
      <c r="J183">
        <v>1</v>
      </c>
      <c r="K183">
        <v>1</v>
      </c>
      <c r="L183">
        <v>1</v>
      </c>
      <c r="M183">
        <v>5</v>
      </c>
      <c r="N183" t="s">
        <v>33</v>
      </c>
      <c r="O183" t="s">
        <v>34</v>
      </c>
      <c r="P183" t="s">
        <v>108</v>
      </c>
      <c r="Q183">
        <v>100000</v>
      </c>
      <c r="R183" t="s">
        <v>121</v>
      </c>
      <c r="S183" t="str">
        <f>LOWER(TRIM(CLEAN(tbl_survey_clean[[#This Row],[Komentar]])))</f>
        <v>ada beberapa produk yang tidak sesuai foto</v>
      </c>
      <c r="T183">
        <f>LEN(tbl_survey_clean[[#This Row],[Komentar_Clean]])</f>
        <v>42</v>
      </c>
      <c r="U183" t="str">
        <f t="shared" si="10"/>
        <v>Produk</v>
      </c>
      <c r="V183" t="str">
        <f t="shared" si="11"/>
        <v>Netral</v>
      </c>
      <c r="W183" s="6">
        <v>46105</v>
      </c>
      <c r="X183" t="s">
        <v>365</v>
      </c>
    </row>
    <row r="184" spans="1:24" hidden="1" x14ac:dyDescent="0.3">
      <c r="A184" t="s">
        <v>337</v>
      </c>
      <c r="B184" t="s">
        <v>114</v>
      </c>
      <c r="C184">
        <v>23</v>
      </c>
      <c r="D184" t="s">
        <v>90</v>
      </c>
      <c r="E184" t="s">
        <v>166</v>
      </c>
      <c r="F184" t="s">
        <v>125</v>
      </c>
      <c r="G184" t="s">
        <v>41</v>
      </c>
      <c r="H184">
        <v>16</v>
      </c>
      <c r="I184">
        <v>1</v>
      </c>
      <c r="J184">
        <v>3</v>
      </c>
      <c r="K184">
        <v>1</v>
      </c>
      <c r="L184">
        <v>3</v>
      </c>
      <c r="M184">
        <v>2</v>
      </c>
      <c r="N184" t="s">
        <v>33</v>
      </c>
      <c r="O184" t="s">
        <v>25</v>
      </c>
      <c r="P184" t="s">
        <v>108</v>
      </c>
      <c r="Q184">
        <v>1000000</v>
      </c>
      <c r="R184" t="s">
        <v>36</v>
      </c>
      <c r="S184" t="str">
        <f>LOWER(TRIM(CLEAN(tbl_survey_clean[[#This Row],[Komentar]])))</f>
        <v>harga naik tapi kualitas sama saja</v>
      </c>
      <c r="T184">
        <f>LEN(tbl_survey_clean[[#This Row],[Komentar_Clean]])</f>
        <v>34</v>
      </c>
      <c r="U184" t="str">
        <f t="shared" si="10"/>
        <v>Harga</v>
      </c>
      <c r="V184" t="str">
        <f t="shared" si="11"/>
        <v>Netral</v>
      </c>
      <c r="W184" s="6">
        <v>46148</v>
      </c>
      <c r="X184" t="s">
        <v>367</v>
      </c>
    </row>
    <row r="185" spans="1:24" hidden="1" x14ac:dyDescent="0.3">
      <c r="A185" t="s">
        <v>338</v>
      </c>
      <c r="B185" t="s">
        <v>102</v>
      </c>
      <c r="C185">
        <v>43</v>
      </c>
      <c r="D185" t="s">
        <v>20</v>
      </c>
      <c r="E185" t="s">
        <v>49</v>
      </c>
      <c r="F185" t="s">
        <v>49</v>
      </c>
      <c r="G185" t="s">
        <v>23</v>
      </c>
      <c r="H185">
        <v>29</v>
      </c>
      <c r="I185">
        <v>5</v>
      </c>
      <c r="J185">
        <v>2</v>
      </c>
      <c r="K185">
        <v>5</v>
      </c>
      <c r="L185">
        <v>5</v>
      </c>
      <c r="M185">
        <v>0</v>
      </c>
      <c r="N185" t="s">
        <v>33</v>
      </c>
      <c r="O185" t="s">
        <v>34</v>
      </c>
      <c r="P185" t="s">
        <v>51</v>
      </c>
      <c r="Q185">
        <v>500000</v>
      </c>
      <c r="R185" t="s">
        <v>57</v>
      </c>
      <c r="S185" t="str">
        <f>LOWER(TRIM(CLEAN(tbl_survey_clean[[#This Row],[Komentar]])))</f>
        <v>pengiriman agak lama dari estimasi</v>
      </c>
      <c r="T185">
        <f>LEN(tbl_survey_clean[[#This Row],[Komentar_Clean]])</f>
        <v>34</v>
      </c>
      <c r="U185" t="str">
        <f t="shared" si="10"/>
        <v>Pengiriman</v>
      </c>
      <c r="V185" t="str">
        <f t="shared" si="11"/>
        <v>Negatif</v>
      </c>
      <c r="W185" s="6">
        <v>46027</v>
      </c>
      <c r="X185" t="s">
        <v>363</v>
      </c>
    </row>
    <row r="186" spans="1:24" hidden="1" x14ac:dyDescent="0.3">
      <c r="A186" t="s">
        <v>339</v>
      </c>
      <c r="B186" t="s">
        <v>213</v>
      </c>
      <c r="C186">
        <v>32</v>
      </c>
      <c r="D186" t="s">
        <v>54</v>
      </c>
      <c r="E186" t="s">
        <v>39</v>
      </c>
      <c r="F186" t="s">
        <v>40</v>
      </c>
      <c r="G186" t="s">
        <v>41</v>
      </c>
      <c r="H186">
        <v>25</v>
      </c>
      <c r="I186">
        <v>2</v>
      </c>
      <c r="J186">
        <v>2</v>
      </c>
      <c r="K186">
        <v>5</v>
      </c>
      <c r="L186">
        <v>2</v>
      </c>
      <c r="M186">
        <v>8</v>
      </c>
      <c r="N186" t="s">
        <v>24</v>
      </c>
      <c r="O186" t="s">
        <v>50</v>
      </c>
      <c r="P186" t="s">
        <v>51</v>
      </c>
      <c r="Q186">
        <v>2000000</v>
      </c>
      <c r="R186" t="s">
        <v>143</v>
      </c>
      <c r="S186" t="str">
        <f>LOWER(TRIM(CLEAN(tbl_survey_clean[[#This Row],[Komentar]])))</f>
        <v>akan rekomendasikan ke teman-teman</v>
      </c>
      <c r="T186">
        <f>LEN(tbl_survey_clean[[#This Row],[Komentar_Clean]])</f>
        <v>34</v>
      </c>
      <c r="U186" t="str">
        <f t="shared" si="10"/>
        <v>Lainnya</v>
      </c>
      <c r="V186" t="str">
        <f t="shared" si="11"/>
        <v>Netral</v>
      </c>
      <c r="W186" s="6">
        <v>46051</v>
      </c>
      <c r="X186" t="s">
        <v>363</v>
      </c>
    </row>
    <row r="187" spans="1:24" hidden="1" x14ac:dyDescent="0.3">
      <c r="A187" t="s">
        <v>340</v>
      </c>
      <c r="B187" t="s">
        <v>114</v>
      </c>
      <c r="C187">
        <v>49</v>
      </c>
      <c r="D187" t="s">
        <v>30</v>
      </c>
      <c r="E187" t="s">
        <v>49</v>
      </c>
      <c r="F187" t="s">
        <v>49</v>
      </c>
      <c r="G187" t="s">
        <v>23</v>
      </c>
      <c r="H187">
        <v>30</v>
      </c>
      <c r="I187">
        <v>3</v>
      </c>
      <c r="J187">
        <v>1</v>
      </c>
      <c r="K187">
        <v>5</v>
      </c>
      <c r="L187">
        <v>4</v>
      </c>
      <c r="M187">
        <v>2</v>
      </c>
      <c r="N187" t="s">
        <v>33</v>
      </c>
      <c r="O187" t="s">
        <v>107</v>
      </c>
      <c r="P187" t="s">
        <v>26</v>
      </c>
      <c r="Q187">
        <v>50000</v>
      </c>
      <c r="R187" t="s">
        <v>66</v>
      </c>
      <c r="S187" t="str">
        <f>LOWER(TRIM(CLEAN(tbl_survey_clean[[#This Row],[Komentar]])))</f>
        <v>susah dihubungi ketika ada masalah</v>
      </c>
      <c r="T187">
        <f>LEN(tbl_survey_clean[[#This Row],[Komentar_Clean]])</f>
        <v>34</v>
      </c>
      <c r="U187" t="str">
        <f t="shared" si="10"/>
        <v>Lainnya</v>
      </c>
      <c r="V187" t="str">
        <f t="shared" si="11"/>
        <v>Negatif</v>
      </c>
      <c r="W187" s="6">
        <v>46115</v>
      </c>
      <c r="X187" t="s">
        <v>366</v>
      </c>
    </row>
    <row r="188" spans="1:24" hidden="1" x14ac:dyDescent="0.3">
      <c r="A188" t="s">
        <v>341</v>
      </c>
      <c r="B188" t="s">
        <v>192</v>
      </c>
      <c r="C188">
        <v>17</v>
      </c>
      <c r="D188" t="s">
        <v>90</v>
      </c>
      <c r="E188" t="s">
        <v>140</v>
      </c>
      <c r="F188" t="s">
        <v>40</v>
      </c>
      <c r="G188" t="s">
        <v>41</v>
      </c>
      <c r="H188">
        <v>15</v>
      </c>
      <c r="I188">
        <v>1</v>
      </c>
      <c r="J188">
        <v>2</v>
      </c>
      <c r="K188">
        <v>2</v>
      </c>
      <c r="L188">
        <v>5</v>
      </c>
      <c r="M188">
        <v>2</v>
      </c>
      <c r="N188" t="s">
        <v>33</v>
      </c>
      <c r="O188" t="s">
        <v>43</v>
      </c>
      <c r="P188" t="s">
        <v>108</v>
      </c>
      <c r="Q188">
        <v>2000000</v>
      </c>
      <c r="R188" t="s">
        <v>121</v>
      </c>
      <c r="S188" t="str">
        <f>LOWER(TRIM(CLEAN(tbl_survey_clean[[#This Row],[Komentar]])))</f>
        <v>ada beberapa produk yang tidak sesuai foto</v>
      </c>
      <c r="T188">
        <f>LEN(tbl_survey_clean[[#This Row],[Komentar_Clean]])</f>
        <v>42</v>
      </c>
      <c r="U188" t="str">
        <f t="shared" si="10"/>
        <v>Produk</v>
      </c>
      <c r="V188" t="str">
        <f t="shared" si="11"/>
        <v>Netral</v>
      </c>
      <c r="W188" s="6">
        <v>46101</v>
      </c>
      <c r="X188" t="s">
        <v>365</v>
      </c>
    </row>
    <row r="189" spans="1:24" hidden="1" x14ac:dyDescent="0.3">
      <c r="A189" t="s">
        <v>342</v>
      </c>
      <c r="B189" t="s">
        <v>75</v>
      </c>
      <c r="C189">
        <v>39</v>
      </c>
      <c r="D189" t="s">
        <v>20</v>
      </c>
      <c r="E189" t="s">
        <v>100</v>
      </c>
      <c r="F189" t="s">
        <v>61</v>
      </c>
      <c r="G189" t="s">
        <v>41</v>
      </c>
      <c r="H189">
        <v>21</v>
      </c>
      <c r="I189">
        <v>2</v>
      </c>
      <c r="J189">
        <v>4</v>
      </c>
      <c r="K189">
        <v>5</v>
      </c>
      <c r="L189">
        <v>1</v>
      </c>
      <c r="M189">
        <v>8</v>
      </c>
      <c r="N189" t="s">
        <v>24</v>
      </c>
      <c r="O189" t="s">
        <v>50</v>
      </c>
      <c r="P189" t="s">
        <v>51</v>
      </c>
      <c r="Q189">
        <v>2000000</v>
      </c>
      <c r="R189" t="s">
        <v>273</v>
      </c>
      <c r="S189" t="str">
        <f>LOWER(TRIM(CLEAN(tbl_survey_clean[[#This Row],[Komentar]])))</f>
        <v>customer service sangat responsif</v>
      </c>
      <c r="T189">
        <f>LEN(tbl_survey_clean[[#This Row],[Komentar_Clean]])</f>
        <v>33</v>
      </c>
      <c r="U189" t="str">
        <f t="shared" si="10"/>
        <v>Lainnya</v>
      </c>
      <c r="V189" t="str">
        <f t="shared" si="11"/>
        <v>Netral</v>
      </c>
      <c r="W189" s="6">
        <v>46084</v>
      </c>
      <c r="X189" t="s">
        <v>365</v>
      </c>
    </row>
    <row r="190" spans="1:24" hidden="1" x14ac:dyDescent="0.3">
      <c r="A190" t="s">
        <v>343</v>
      </c>
      <c r="B190" t="s">
        <v>179</v>
      </c>
      <c r="C190">
        <v>23</v>
      </c>
      <c r="D190" t="s">
        <v>90</v>
      </c>
      <c r="E190" t="s">
        <v>331</v>
      </c>
      <c r="F190" t="s">
        <v>106</v>
      </c>
      <c r="G190" t="s">
        <v>41</v>
      </c>
      <c r="H190">
        <v>41</v>
      </c>
      <c r="I190">
        <v>1</v>
      </c>
      <c r="J190">
        <v>4</v>
      </c>
      <c r="K190">
        <v>3</v>
      </c>
      <c r="L190">
        <v>5</v>
      </c>
      <c r="M190">
        <v>2</v>
      </c>
      <c r="N190" t="s">
        <v>33</v>
      </c>
      <c r="O190" t="s">
        <v>69</v>
      </c>
      <c r="P190" t="s">
        <v>26</v>
      </c>
      <c r="Q190">
        <v>1000000</v>
      </c>
      <c r="R190" t="s">
        <v>57</v>
      </c>
      <c r="S190" t="str">
        <f>LOWER(TRIM(CLEAN(tbl_survey_clean[[#This Row],[Komentar]])))</f>
        <v>pengiriman agak lama dari estimasi</v>
      </c>
      <c r="T190">
        <f>LEN(tbl_survey_clean[[#This Row],[Komentar_Clean]])</f>
        <v>34</v>
      </c>
      <c r="U190" t="str">
        <f t="shared" si="10"/>
        <v>Pengiriman</v>
      </c>
      <c r="V190" t="str">
        <f t="shared" si="11"/>
        <v>Negatif</v>
      </c>
      <c r="W190" s="6">
        <v>46037</v>
      </c>
      <c r="X190" t="s">
        <v>363</v>
      </c>
    </row>
    <row r="191" spans="1:24" hidden="1" x14ac:dyDescent="0.3">
      <c r="A191" t="s">
        <v>344</v>
      </c>
      <c r="B191" t="s">
        <v>147</v>
      </c>
      <c r="C191">
        <v>56</v>
      </c>
      <c r="D191" t="s">
        <v>83</v>
      </c>
      <c r="E191" t="s">
        <v>31</v>
      </c>
      <c r="F191" t="s">
        <v>32</v>
      </c>
      <c r="G191" t="s">
        <v>41</v>
      </c>
      <c r="H191">
        <v>30</v>
      </c>
      <c r="I191">
        <v>2</v>
      </c>
      <c r="J191">
        <v>4</v>
      </c>
      <c r="K191">
        <v>5</v>
      </c>
      <c r="L191">
        <v>4</v>
      </c>
      <c r="M191">
        <v>6</v>
      </c>
      <c r="N191" t="s">
        <v>33</v>
      </c>
      <c r="O191" t="s">
        <v>25</v>
      </c>
      <c r="P191" t="s">
        <v>108</v>
      </c>
      <c r="Q191">
        <v>1000000</v>
      </c>
      <c r="R191" t="s">
        <v>84</v>
      </c>
      <c r="S191" t="str">
        <f>LOWER(TRIM(CLEAN(tbl_survey_clean[[#This Row],[Komentar]])))</f>
        <v>standar saja, tidak ada yang istimewa</v>
      </c>
      <c r="T191">
        <f>LEN(tbl_survey_clean[[#This Row],[Komentar_Clean]])</f>
        <v>37</v>
      </c>
      <c r="U191" t="str">
        <f t="shared" si="10"/>
        <v>Lainnya</v>
      </c>
      <c r="V191" t="str">
        <f t="shared" si="11"/>
        <v>Netral</v>
      </c>
      <c r="W191" s="6">
        <v>46084</v>
      </c>
      <c r="X191" t="s">
        <v>365</v>
      </c>
    </row>
    <row r="192" spans="1:24" hidden="1" x14ac:dyDescent="0.3">
      <c r="A192" t="s">
        <v>345</v>
      </c>
      <c r="B192" t="s">
        <v>128</v>
      </c>
      <c r="C192">
        <v>51</v>
      </c>
      <c r="D192" t="s">
        <v>30</v>
      </c>
      <c r="E192" t="s">
        <v>166</v>
      </c>
      <c r="F192" t="s">
        <v>125</v>
      </c>
      <c r="G192" t="s">
        <v>41</v>
      </c>
      <c r="H192">
        <v>46</v>
      </c>
      <c r="I192">
        <v>3</v>
      </c>
      <c r="J192">
        <v>3</v>
      </c>
      <c r="K192">
        <v>4</v>
      </c>
      <c r="L192">
        <v>2</v>
      </c>
      <c r="M192">
        <v>10</v>
      </c>
      <c r="N192" t="s">
        <v>42</v>
      </c>
      <c r="O192" t="s">
        <v>69</v>
      </c>
      <c r="P192" t="s">
        <v>51</v>
      </c>
      <c r="Q192">
        <v>5000000</v>
      </c>
      <c r="R192" t="s">
        <v>62</v>
      </c>
      <c r="S192" t="str">
        <f>LOWER(TRIM(CLEAN(tbl_survey_clean[[#This Row],[Komentar]])))</f>
        <v>produk sangat berkualitas, saya puas!</v>
      </c>
      <c r="T192">
        <f>LEN(tbl_survey_clean[[#This Row],[Komentar_Clean]])</f>
        <v>37</v>
      </c>
      <c r="U192" t="str">
        <f t="shared" si="10"/>
        <v>Produk</v>
      </c>
      <c r="V192" t="str">
        <f t="shared" si="11"/>
        <v>Positif</v>
      </c>
      <c r="W192" s="6">
        <v>46168</v>
      </c>
      <c r="X192" t="s">
        <v>367</v>
      </c>
    </row>
    <row r="193" spans="1:24" hidden="1" x14ac:dyDescent="0.3">
      <c r="A193" t="s">
        <v>346</v>
      </c>
      <c r="B193" t="s">
        <v>215</v>
      </c>
      <c r="C193">
        <v>61</v>
      </c>
      <c r="D193" t="s">
        <v>83</v>
      </c>
      <c r="E193" t="s">
        <v>124</v>
      </c>
      <c r="F193" t="s">
        <v>125</v>
      </c>
      <c r="G193" t="s">
        <v>41</v>
      </c>
      <c r="H193">
        <v>23</v>
      </c>
      <c r="I193">
        <v>4</v>
      </c>
      <c r="J193">
        <v>5</v>
      </c>
      <c r="K193">
        <v>4</v>
      </c>
      <c r="L193">
        <v>2</v>
      </c>
      <c r="M193">
        <v>9</v>
      </c>
      <c r="N193" t="s">
        <v>42</v>
      </c>
      <c r="O193" t="s">
        <v>25</v>
      </c>
      <c r="P193" t="s">
        <v>51</v>
      </c>
      <c r="Q193">
        <v>1000000</v>
      </c>
      <c r="R193" t="s">
        <v>126</v>
      </c>
      <c r="S193" t="str">
        <f>LOWER(TRIM(CLEAN(tbl_survey_clean[[#This Row],[Komentar]])))</f>
        <v>sudah berlangganan 2 tahun, selalu puas</v>
      </c>
      <c r="T193">
        <f>LEN(tbl_survey_clean[[#This Row],[Komentar_Clean]])</f>
        <v>39</v>
      </c>
      <c r="U193" t="str">
        <f t="shared" si="10"/>
        <v>Lainnya</v>
      </c>
      <c r="V193" t="str">
        <f t="shared" si="11"/>
        <v>Positif</v>
      </c>
      <c r="W193" s="6">
        <v>46043</v>
      </c>
      <c r="X193" t="s">
        <v>363</v>
      </c>
    </row>
    <row r="194" spans="1:24" hidden="1" x14ac:dyDescent="0.3">
      <c r="A194" t="s">
        <v>347</v>
      </c>
      <c r="B194" t="s">
        <v>53</v>
      </c>
      <c r="C194">
        <v>56</v>
      </c>
      <c r="D194" t="s">
        <v>83</v>
      </c>
      <c r="E194" t="s">
        <v>203</v>
      </c>
      <c r="F194" t="s">
        <v>32</v>
      </c>
      <c r="G194" t="s">
        <v>23</v>
      </c>
      <c r="H194">
        <v>15</v>
      </c>
      <c r="I194">
        <v>5</v>
      </c>
      <c r="J194">
        <v>5</v>
      </c>
      <c r="K194">
        <v>5</v>
      </c>
      <c r="L194">
        <v>2</v>
      </c>
      <c r="M194">
        <v>5</v>
      </c>
      <c r="N194" t="s">
        <v>33</v>
      </c>
      <c r="O194" t="s">
        <v>69</v>
      </c>
      <c r="P194" t="s">
        <v>44</v>
      </c>
      <c r="Q194">
        <v>1000000</v>
      </c>
      <c r="R194" t="s">
        <v>36</v>
      </c>
      <c r="S194" t="str">
        <f>LOWER(TRIM(CLEAN(tbl_survey_clean[[#This Row],[Komentar]])))</f>
        <v>harga naik tapi kualitas sama saja</v>
      </c>
      <c r="T194">
        <f>LEN(tbl_survey_clean[[#This Row],[Komentar_Clean]])</f>
        <v>34</v>
      </c>
      <c r="U194" t="str">
        <f t="shared" ref="U194:U201" si="12">IF(ISNUMBER(SEARCH("harga",S194)),"Harga",IF(ISNUMBER(SEARCH("pengiriman",S194)),"Pengiriman",IF(ISNUMBER(SEARCH("pelayanan",S194)),"Pelayanan",IF(ISNUMBER(SEARCH("produk",S194)),"Produk","Lainnya"))))</f>
        <v>Harga</v>
      </c>
      <c r="V194" t="str">
        <f t="shared" ref="V194:V201" si="13">IF(OR(ISNUMBER(SEARCH("puas",S194)),ISNUMBER(SEARCH("bagus",S194)),ISNUMBER(SEARCH("cepat",S194)),ISNUMBER(SEARCH("aman",S194))),"Positif",IF(OR(ISNUMBER(SEARCH("mahal",S194)),ISNUMBER(SEARCH("lama",S194)),ISNUMBER(SEARCH("buruk",S194)),ISNUMBER(SEARCH("susah",S194)),ISNUMBER(SEARCH("ribet",S194)),ISNUMBER(SEARCH("perbaikan",S194))),"Negatif","Netral"))</f>
        <v>Netral</v>
      </c>
      <c r="W194" s="6">
        <v>46044</v>
      </c>
      <c r="X194" t="s">
        <v>363</v>
      </c>
    </row>
    <row r="195" spans="1:24" hidden="1" x14ac:dyDescent="0.3">
      <c r="A195" t="s">
        <v>348</v>
      </c>
      <c r="B195" t="s">
        <v>261</v>
      </c>
      <c r="C195">
        <v>64</v>
      </c>
      <c r="D195" t="s">
        <v>83</v>
      </c>
      <c r="E195" t="s">
        <v>39</v>
      </c>
      <c r="F195" t="s">
        <v>40</v>
      </c>
      <c r="G195" t="s">
        <v>41</v>
      </c>
      <c r="H195">
        <v>18</v>
      </c>
      <c r="I195">
        <v>3</v>
      </c>
      <c r="J195">
        <v>2</v>
      </c>
      <c r="K195">
        <v>5</v>
      </c>
      <c r="L195">
        <v>5</v>
      </c>
      <c r="M195">
        <v>0</v>
      </c>
      <c r="N195" t="s">
        <v>33</v>
      </c>
      <c r="O195" t="s">
        <v>107</v>
      </c>
      <c r="P195" t="s">
        <v>51</v>
      </c>
      <c r="Q195">
        <v>2000000</v>
      </c>
      <c r="R195" t="s">
        <v>66</v>
      </c>
      <c r="S195" t="str">
        <f>LOWER(TRIM(CLEAN(tbl_survey_clean[[#This Row],[Komentar]])))</f>
        <v>susah dihubungi ketika ada masalah</v>
      </c>
      <c r="T195">
        <f>LEN(tbl_survey_clean[[#This Row],[Komentar_Clean]])</f>
        <v>34</v>
      </c>
      <c r="U195" t="str">
        <f t="shared" si="12"/>
        <v>Lainnya</v>
      </c>
      <c r="V195" t="str">
        <f t="shared" si="13"/>
        <v>Negatif</v>
      </c>
      <c r="W195" s="6">
        <v>46147</v>
      </c>
      <c r="X195" t="s">
        <v>367</v>
      </c>
    </row>
    <row r="196" spans="1:24" hidden="1" x14ac:dyDescent="0.3">
      <c r="A196" t="s">
        <v>349</v>
      </c>
      <c r="B196" t="s">
        <v>217</v>
      </c>
      <c r="C196">
        <v>21</v>
      </c>
      <c r="D196" t="s">
        <v>90</v>
      </c>
      <c r="E196" t="s">
        <v>124</v>
      </c>
      <c r="F196" t="s">
        <v>125</v>
      </c>
      <c r="G196" t="s">
        <v>23</v>
      </c>
      <c r="H196">
        <v>36</v>
      </c>
      <c r="I196">
        <v>4</v>
      </c>
      <c r="J196">
        <v>5</v>
      </c>
      <c r="K196">
        <v>5</v>
      </c>
      <c r="L196">
        <v>4</v>
      </c>
      <c r="M196">
        <v>7</v>
      </c>
      <c r="N196" t="s">
        <v>24</v>
      </c>
      <c r="O196" t="s">
        <v>25</v>
      </c>
      <c r="P196" t="s">
        <v>51</v>
      </c>
      <c r="Q196">
        <v>50000</v>
      </c>
      <c r="R196" t="s">
        <v>84</v>
      </c>
      <c r="S196" t="str">
        <f>LOWER(TRIM(CLEAN(tbl_survey_clean[[#This Row],[Komentar]])))</f>
        <v>standar saja, tidak ada yang istimewa</v>
      </c>
      <c r="T196">
        <f>LEN(tbl_survey_clean[[#This Row],[Komentar_Clean]])</f>
        <v>37</v>
      </c>
      <c r="U196" t="str">
        <f t="shared" si="12"/>
        <v>Lainnya</v>
      </c>
      <c r="V196" t="str">
        <f t="shared" si="13"/>
        <v>Netral</v>
      </c>
      <c r="W196" s="6">
        <v>46040</v>
      </c>
      <c r="X196" t="s">
        <v>363</v>
      </c>
    </row>
    <row r="197" spans="1:24" hidden="1" x14ac:dyDescent="0.3">
      <c r="A197" t="s">
        <v>350</v>
      </c>
      <c r="B197" t="s">
        <v>192</v>
      </c>
      <c r="C197">
        <v>39</v>
      </c>
      <c r="D197" t="s">
        <v>20</v>
      </c>
      <c r="E197" t="s">
        <v>200</v>
      </c>
      <c r="F197" t="s">
        <v>56</v>
      </c>
      <c r="G197" t="s">
        <v>23</v>
      </c>
      <c r="H197">
        <v>33</v>
      </c>
      <c r="I197">
        <v>5</v>
      </c>
      <c r="J197">
        <v>5</v>
      </c>
      <c r="K197">
        <v>3</v>
      </c>
      <c r="L197">
        <v>4</v>
      </c>
      <c r="M197">
        <v>4</v>
      </c>
      <c r="N197" t="s">
        <v>33</v>
      </c>
      <c r="O197" t="s">
        <v>43</v>
      </c>
      <c r="P197" t="s">
        <v>51</v>
      </c>
      <c r="Q197">
        <v>100000</v>
      </c>
      <c r="R197" t="s">
        <v>57</v>
      </c>
      <c r="S197" t="str">
        <f>LOWER(TRIM(CLEAN(tbl_survey_clean[[#This Row],[Komentar]])))</f>
        <v>pengiriman agak lama dari estimasi</v>
      </c>
      <c r="T197">
        <f>LEN(tbl_survey_clean[[#This Row],[Komentar_Clean]])</f>
        <v>34</v>
      </c>
      <c r="U197" t="str">
        <f t="shared" si="12"/>
        <v>Pengiriman</v>
      </c>
      <c r="V197" t="str">
        <f t="shared" si="13"/>
        <v>Negatif</v>
      </c>
      <c r="W197" s="6">
        <v>46159</v>
      </c>
      <c r="X197" t="s">
        <v>367</v>
      </c>
    </row>
    <row r="198" spans="1:24" x14ac:dyDescent="0.3">
      <c r="A198" t="s">
        <v>351</v>
      </c>
      <c r="B198" t="s">
        <v>82</v>
      </c>
      <c r="C198">
        <v>35</v>
      </c>
      <c r="D198" t="s">
        <v>20</v>
      </c>
      <c r="E198" t="s">
        <v>105</v>
      </c>
      <c r="F198" t="s">
        <v>106</v>
      </c>
      <c r="G198" t="s">
        <v>41</v>
      </c>
      <c r="H198">
        <v>25</v>
      </c>
      <c r="I198">
        <v>4</v>
      </c>
      <c r="J198">
        <v>5</v>
      </c>
      <c r="K198">
        <v>3</v>
      </c>
      <c r="L198">
        <v>2</v>
      </c>
      <c r="M198">
        <v>6</v>
      </c>
      <c r="N198" t="s">
        <v>33</v>
      </c>
      <c r="O198" t="s">
        <v>25</v>
      </c>
      <c r="P198" t="s">
        <v>26</v>
      </c>
      <c r="Q198">
        <v>250000</v>
      </c>
      <c r="R198" t="s">
        <v>84</v>
      </c>
      <c r="S198" t="str">
        <f>LOWER(TRIM(CLEAN(tbl_survey_clean[[#This Row],[Komentar]])))</f>
        <v>standar saja, tidak ada yang istimewa</v>
      </c>
      <c r="T198">
        <f>LEN(tbl_survey_clean[[#This Row],[Komentar_Clean]])</f>
        <v>37</v>
      </c>
      <c r="U198" t="str">
        <f t="shared" si="12"/>
        <v>Lainnya</v>
      </c>
      <c r="V198" t="str">
        <f t="shared" si="13"/>
        <v>Netral</v>
      </c>
      <c r="W198" s="6">
        <v>46055</v>
      </c>
      <c r="X198" t="s">
        <v>364</v>
      </c>
    </row>
    <row r="199" spans="1:24" x14ac:dyDescent="0.3">
      <c r="A199" t="s">
        <v>352</v>
      </c>
      <c r="B199" t="s">
        <v>138</v>
      </c>
      <c r="C199">
        <v>55</v>
      </c>
      <c r="D199" t="s">
        <v>83</v>
      </c>
      <c r="E199" t="s">
        <v>72</v>
      </c>
      <c r="F199" t="s">
        <v>73</v>
      </c>
      <c r="G199" t="s">
        <v>41</v>
      </c>
      <c r="H199">
        <v>8</v>
      </c>
      <c r="I199">
        <v>2</v>
      </c>
      <c r="J199">
        <v>5</v>
      </c>
      <c r="K199">
        <v>4</v>
      </c>
      <c r="L199">
        <v>1</v>
      </c>
      <c r="M199">
        <v>5</v>
      </c>
      <c r="N199" t="s">
        <v>33</v>
      </c>
      <c r="O199" t="s">
        <v>50</v>
      </c>
      <c r="P199" t="s">
        <v>35</v>
      </c>
      <c r="Q199">
        <v>5000000</v>
      </c>
      <c r="R199" t="s">
        <v>121</v>
      </c>
      <c r="S199" t="str">
        <f>LOWER(TRIM(CLEAN(tbl_survey_clean[[#This Row],[Komentar]])))</f>
        <v>ada beberapa produk yang tidak sesuai foto</v>
      </c>
      <c r="T199">
        <f>LEN(tbl_survey_clean[[#This Row],[Komentar_Clean]])</f>
        <v>42</v>
      </c>
      <c r="U199" t="str">
        <f t="shared" si="12"/>
        <v>Produk</v>
      </c>
      <c r="V199" t="str">
        <f t="shared" si="13"/>
        <v>Netral</v>
      </c>
      <c r="W199" s="6">
        <v>46055</v>
      </c>
      <c r="X199" t="s">
        <v>364</v>
      </c>
    </row>
    <row r="200" spans="1:24" hidden="1" x14ac:dyDescent="0.3">
      <c r="A200" t="s">
        <v>353</v>
      </c>
      <c r="B200" t="s">
        <v>53</v>
      </c>
      <c r="C200">
        <v>42</v>
      </c>
      <c r="D200" t="s">
        <v>20</v>
      </c>
      <c r="E200" t="s">
        <v>105</v>
      </c>
      <c r="F200" t="s">
        <v>106</v>
      </c>
      <c r="G200" t="s">
        <v>23</v>
      </c>
      <c r="H200">
        <v>35</v>
      </c>
      <c r="I200">
        <v>4</v>
      </c>
      <c r="J200">
        <v>3</v>
      </c>
      <c r="K200">
        <v>5</v>
      </c>
      <c r="L200">
        <v>5</v>
      </c>
      <c r="M200">
        <v>0</v>
      </c>
      <c r="N200" t="s">
        <v>33</v>
      </c>
      <c r="O200" t="s">
        <v>25</v>
      </c>
      <c r="P200" t="s">
        <v>108</v>
      </c>
      <c r="Q200">
        <v>100000</v>
      </c>
      <c r="R200" t="s">
        <v>57</v>
      </c>
      <c r="S200" t="str">
        <f>LOWER(TRIM(CLEAN(tbl_survey_clean[[#This Row],[Komentar]])))</f>
        <v>pengiriman agak lama dari estimasi</v>
      </c>
      <c r="T200">
        <f>LEN(tbl_survey_clean[[#This Row],[Komentar_Clean]])</f>
        <v>34</v>
      </c>
      <c r="U200" t="str">
        <f t="shared" si="12"/>
        <v>Pengiriman</v>
      </c>
      <c r="V200" t="str">
        <f t="shared" si="13"/>
        <v>Negatif</v>
      </c>
      <c r="W200" s="6">
        <v>46191</v>
      </c>
      <c r="X200" t="s">
        <v>368</v>
      </c>
    </row>
    <row r="201" spans="1:24" hidden="1" x14ac:dyDescent="0.3">
      <c r="A201" t="s">
        <v>354</v>
      </c>
      <c r="B201" t="s">
        <v>261</v>
      </c>
      <c r="C201">
        <v>17</v>
      </c>
      <c r="D201" t="s">
        <v>90</v>
      </c>
      <c r="E201" t="s">
        <v>245</v>
      </c>
      <c r="F201" t="s">
        <v>130</v>
      </c>
      <c r="G201" t="s">
        <v>23</v>
      </c>
      <c r="H201">
        <v>3</v>
      </c>
      <c r="I201">
        <v>5</v>
      </c>
      <c r="J201">
        <v>5</v>
      </c>
      <c r="K201">
        <v>5</v>
      </c>
      <c r="L201">
        <v>5</v>
      </c>
      <c r="M201">
        <v>3</v>
      </c>
      <c r="N201" t="s">
        <v>33</v>
      </c>
      <c r="O201" t="s">
        <v>69</v>
      </c>
      <c r="P201" t="s">
        <v>108</v>
      </c>
      <c r="Q201">
        <v>250000</v>
      </c>
      <c r="R201" t="s">
        <v>80</v>
      </c>
      <c r="S201" t="str">
        <f>LOWER(TRIM(CLEAN(tbl_survey_clean[[#This Row],[Komentar]])))</f>
        <v>proses return barang terlalu ribet</v>
      </c>
      <c r="T201">
        <f>LEN(tbl_survey_clean[[#This Row],[Komentar_Clean]])</f>
        <v>34</v>
      </c>
      <c r="U201" t="str">
        <f t="shared" si="12"/>
        <v>Lainnya</v>
      </c>
      <c r="V201" t="str">
        <f t="shared" si="13"/>
        <v>Negatif</v>
      </c>
      <c r="W201" s="6">
        <v>46144</v>
      </c>
      <c r="X201" t="s">
        <v>367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4051-251A-488D-9170-D01C58418230}">
  <dimension ref="A1:J48"/>
  <sheetViews>
    <sheetView zoomScaleNormal="100" workbookViewId="0">
      <selection activeCell="I6" sqref="I6"/>
    </sheetView>
  </sheetViews>
  <sheetFormatPr defaultRowHeight="14.4" x14ac:dyDescent="0.3"/>
  <cols>
    <col min="1" max="1" width="15.44140625" customWidth="1"/>
    <col min="2" max="2" width="11.44140625" customWidth="1"/>
    <col min="4" max="4" width="11.88671875" customWidth="1"/>
    <col min="6" max="6" width="11" customWidth="1"/>
    <col min="7" max="7" width="10.44140625" customWidth="1"/>
  </cols>
  <sheetData>
    <row r="1" spans="1:10" ht="18" x14ac:dyDescent="0.3">
      <c r="A1" s="13" t="s">
        <v>362</v>
      </c>
      <c r="B1" s="14"/>
      <c r="C1" s="14"/>
      <c r="D1" s="14"/>
      <c r="E1" s="14"/>
      <c r="F1" s="14"/>
      <c r="G1" s="14"/>
      <c r="H1" s="14"/>
    </row>
    <row r="3" spans="1:10" ht="28.8" x14ac:dyDescent="0.3">
      <c r="A3" s="7" t="s">
        <v>400</v>
      </c>
      <c r="B3" s="9" t="s">
        <v>356</v>
      </c>
      <c r="C3" s="9" t="s">
        <v>391</v>
      </c>
      <c r="D3" s="9" t="s">
        <v>392</v>
      </c>
      <c r="E3" s="9" t="s">
        <v>393</v>
      </c>
      <c r="F3" s="9" t="s">
        <v>394</v>
      </c>
      <c r="G3" s="9" t="s">
        <v>42</v>
      </c>
      <c r="H3" s="9" t="s">
        <v>33</v>
      </c>
      <c r="I3" s="9" t="s">
        <v>401</v>
      </c>
      <c r="J3" s="9" t="s">
        <v>369</v>
      </c>
    </row>
    <row r="4" spans="1:10" x14ac:dyDescent="0.3">
      <c r="A4" t="str" cm="1">
        <f t="array" ref="A4:A9">_xlfn._xlws.SORT(_xlfn.UNIQUE(tbl_survey_clean[Bulan_Survei]))</f>
        <v>2026-01</v>
      </c>
      <c r="B4">
        <f>COUNTIF(tbl_survey_clean[Bulan_Survei],A4)</f>
        <v>38</v>
      </c>
      <c r="C4">
        <f>AVERAGEIF(tbl_survey_clean[Bulan_Survei],A4, tbl_survey_clean[Rating_Produk])</f>
        <v>3.1315789473684212</v>
      </c>
      <c r="D4">
        <f>AVERAGEIF(tbl_survey_clean[Bulan_Survei],A4,tbl_survey_clean[Rating_Pelayanan])</f>
        <v>2.9210526315789473</v>
      </c>
      <c r="E4">
        <f>AVERAGEIF(tbl_survey_clean[Bulan_Survei],A4,tbl_survey_clean[Rating_Harga])</f>
        <v>3.2894736842105261</v>
      </c>
      <c r="F4">
        <f>AVERAGEIF(tbl_survey_clean[Bulan_Survei],A4,tbl_survey_clean[Rating_Pengiriman])</f>
        <v>3.1842105263157894</v>
      </c>
      <c r="G4">
        <f>COUNTIFS(tbl_survey_clean[Bulan_Survei],A4,tbl_survey_clean[Kategori_NPS],"Promoter")</f>
        <v>6</v>
      </c>
      <c r="H4">
        <f>COUNTIFS(tbl_survey_clean[Bulan_Survei],A4,tbl_survey_clean[Kategori_NPS],"Detractor")</f>
        <v>25</v>
      </c>
      <c r="I4">
        <f>IFERROR(((G4-H4)/B4)*100,0)</f>
        <v>-50</v>
      </c>
    </row>
    <row r="5" spans="1:10" x14ac:dyDescent="0.3">
      <c r="A5" t="str">
        <v>2026-02</v>
      </c>
      <c r="B5">
        <f>COUNTIF(tbl_survey_clean[Bulan_Survei],A5)</f>
        <v>32</v>
      </c>
      <c r="C5">
        <f>AVERAGEIF(tbl_survey_clean[Bulan_Survei],A5, tbl_survey_clean[Rating_Produk])</f>
        <v>3.28125</v>
      </c>
      <c r="D5">
        <f>AVERAGEIF(tbl_survey_clean[Bulan_Survei],A5,tbl_survey_clean[Rating_Pelayanan])</f>
        <v>3.09375</v>
      </c>
      <c r="E5">
        <f>AVERAGEIF(tbl_survey_clean[Bulan_Survei],A5,tbl_survey_clean[Rating_Harga])</f>
        <v>3.25</v>
      </c>
      <c r="F5">
        <f>AVERAGEIF(tbl_survey_clean[Bulan_Survei],A5,tbl_survey_clean[Rating_Pengiriman])</f>
        <v>3.21875</v>
      </c>
      <c r="G5">
        <f>COUNTIFS(tbl_survey_clean[Bulan_Survei],A5,tbl_survey_clean[Kategori_NPS],"Promoter")</f>
        <v>5</v>
      </c>
      <c r="H5">
        <f>COUNTIFS(tbl_survey_clean[Bulan_Survei],A5,tbl_survey_clean[Kategori_NPS],"Detractor")</f>
        <v>18</v>
      </c>
      <c r="I5">
        <f t="shared" ref="I5:I9" si="0">IFERROR(((G5-H5)/B5)*100,0)</f>
        <v>-40.625</v>
      </c>
    </row>
    <row r="6" spans="1:10" x14ac:dyDescent="0.3">
      <c r="A6" t="str">
        <v>2026-03</v>
      </c>
      <c r="B6">
        <f>COUNTIF(tbl_survey_clean[Bulan_Survei],A6)</f>
        <v>33</v>
      </c>
      <c r="C6">
        <f>AVERAGEIF(tbl_survey_clean[Bulan_Survei],A6, tbl_survey_clean[Rating_Produk])</f>
        <v>3.0909090909090908</v>
      </c>
      <c r="D6">
        <f>AVERAGEIF(tbl_survey_clean[Bulan_Survei],A6,tbl_survey_clean[Rating_Pelayanan])</f>
        <v>2.9696969696969697</v>
      </c>
      <c r="E6">
        <f>AVERAGEIF(tbl_survey_clean[Bulan_Survei],A6,tbl_survey_clean[Rating_Harga])</f>
        <v>2.6969696969696968</v>
      </c>
      <c r="F6">
        <f>AVERAGEIF(tbl_survey_clean[Bulan_Survei],A6,tbl_survey_clean[Rating_Pengiriman])</f>
        <v>2.6969696969696968</v>
      </c>
      <c r="G6">
        <f>COUNTIFS(tbl_survey_clean[Bulan_Survei],A6,tbl_survey_clean[Kategori_NPS],"Promoter")</f>
        <v>5</v>
      </c>
      <c r="H6">
        <f>COUNTIFS(tbl_survey_clean[Bulan_Survei],A6,tbl_survey_clean[Kategori_NPS],"Detractor")</f>
        <v>21</v>
      </c>
      <c r="I6">
        <f t="shared" si="0"/>
        <v>-48.484848484848484</v>
      </c>
    </row>
    <row r="7" spans="1:10" x14ac:dyDescent="0.3">
      <c r="A7" t="str">
        <v>2026-04</v>
      </c>
      <c r="B7">
        <f>COUNTIF(tbl_survey_clean[Bulan_Survei],A7)</f>
        <v>30</v>
      </c>
      <c r="C7">
        <f>AVERAGEIF(tbl_survey_clean[Bulan_Survei],A7, tbl_survey_clean[Rating_Produk])</f>
        <v>3.1666666666666665</v>
      </c>
      <c r="D7">
        <f>AVERAGEIF(tbl_survey_clean[Bulan_Survei],A7,tbl_survey_clean[Rating_Pelayanan])</f>
        <v>2.9666666666666668</v>
      </c>
      <c r="E7">
        <f>AVERAGEIF(tbl_survey_clean[Bulan_Survei],A7,tbl_survey_clean[Rating_Harga])</f>
        <v>2.7666666666666666</v>
      </c>
      <c r="F7">
        <f>AVERAGEIF(tbl_survey_clean[Bulan_Survei],A7,tbl_survey_clean[Rating_Pengiriman])</f>
        <v>2.9</v>
      </c>
      <c r="G7">
        <f>COUNTIFS(tbl_survey_clean[Bulan_Survei],A7,tbl_survey_clean[Kategori_NPS],"Promoter")</f>
        <v>3</v>
      </c>
      <c r="H7">
        <f>COUNTIFS(tbl_survey_clean[Bulan_Survei],A7,tbl_survey_clean[Kategori_NPS],"Detractor")</f>
        <v>24</v>
      </c>
      <c r="I7">
        <f t="shared" si="0"/>
        <v>-70</v>
      </c>
    </row>
    <row r="8" spans="1:10" x14ac:dyDescent="0.3">
      <c r="A8" t="str">
        <v>2026-05</v>
      </c>
      <c r="B8">
        <f>COUNTIF(tbl_survey_clean[Bulan_Survei],A8)</f>
        <v>31</v>
      </c>
      <c r="C8">
        <f>AVERAGEIF(tbl_survey_clean[Bulan_Survei],A8, tbl_survey_clean[Rating_Produk])</f>
        <v>2.870967741935484</v>
      </c>
      <c r="D8">
        <f>AVERAGEIF(tbl_survey_clean[Bulan_Survei],A8,tbl_survey_clean[Rating_Pelayanan])</f>
        <v>3</v>
      </c>
      <c r="E8">
        <f>AVERAGEIF(tbl_survey_clean[Bulan_Survei],A8,tbl_survey_clean[Rating_Harga])</f>
        <v>3.129032258064516</v>
      </c>
      <c r="F8">
        <f>AVERAGEIF(tbl_survey_clean[Bulan_Survei],A8,tbl_survey_clean[Rating_Pengiriman])</f>
        <v>3.032258064516129</v>
      </c>
      <c r="G8">
        <f>COUNTIFS(tbl_survey_clean[Bulan_Survei],A8,tbl_survey_clean[Kategori_NPS],"Promoter")</f>
        <v>8</v>
      </c>
      <c r="H8">
        <f>COUNTIFS(tbl_survey_clean[Bulan_Survei],A8,tbl_survey_clean[Kategori_NPS],"Detractor")</f>
        <v>17</v>
      </c>
      <c r="I8">
        <f t="shared" si="0"/>
        <v>-29.032258064516132</v>
      </c>
    </row>
    <row r="9" spans="1:10" x14ac:dyDescent="0.3">
      <c r="A9" t="str">
        <v>2026-06</v>
      </c>
      <c r="B9">
        <f>COUNTIF(tbl_survey_clean[Bulan_Survei],A9)</f>
        <v>36</v>
      </c>
      <c r="C9">
        <f>AVERAGEIF(tbl_survey_clean[Bulan_Survei],A9, tbl_survey_clean[Rating_Produk])</f>
        <v>3.3611111111111112</v>
      </c>
      <c r="D9">
        <f>AVERAGEIF(tbl_survey_clean[Bulan_Survei],A9,tbl_survey_clean[Rating_Pelayanan])</f>
        <v>2.7222222222222223</v>
      </c>
      <c r="E9">
        <f>AVERAGEIF(tbl_survey_clean[Bulan_Survei],A9,tbl_survey_clean[Rating_Harga])</f>
        <v>2.8333333333333335</v>
      </c>
      <c r="F9">
        <f>AVERAGEIF(tbl_survey_clean[Bulan_Survei],A9,tbl_survey_clean[Rating_Pengiriman])</f>
        <v>3.3611111111111112</v>
      </c>
      <c r="G9">
        <f>COUNTIFS(tbl_survey_clean[Bulan_Survei],A9,tbl_survey_clean[Kategori_NPS],"Promoter")</f>
        <v>5</v>
      </c>
      <c r="H9">
        <f>COUNTIFS(tbl_survey_clean[Bulan_Survei],A9,tbl_survey_clean[Kategori_NPS],"Detractor")</f>
        <v>26</v>
      </c>
      <c r="I9">
        <f t="shared" si="0"/>
        <v>-58.333333333333336</v>
      </c>
    </row>
    <row r="11" spans="1:10" ht="18" x14ac:dyDescent="0.35">
      <c r="A11" s="15" t="s">
        <v>402</v>
      </c>
      <c r="B11" s="15"/>
      <c r="C11" s="15"/>
      <c r="D11" s="15"/>
      <c r="E11" s="15"/>
      <c r="F11" s="15"/>
      <c r="G11" s="15"/>
    </row>
    <row r="12" spans="1:10" x14ac:dyDescent="0.3">
      <c r="A12" s="7" t="s">
        <v>4</v>
      </c>
      <c r="B12" s="9" t="str" cm="1">
        <f t="array" ref="B12:G12">TRANSPOSE($A$4:$A$9)</f>
        <v>2026-01</v>
      </c>
      <c r="C12" s="9" t="str">
        <v>2026-02</v>
      </c>
      <c r="D12" s="9" t="str">
        <v>2026-03</v>
      </c>
      <c r="E12" s="9" t="str">
        <v>2026-04</v>
      </c>
      <c r="F12" s="9" t="str">
        <v>2026-05</v>
      </c>
      <c r="G12" s="9" t="str">
        <v>2026-06</v>
      </c>
      <c r="H12" s="7" t="s">
        <v>369</v>
      </c>
    </row>
    <row r="13" spans="1:10" x14ac:dyDescent="0.3">
      <c r="A13" t="str" cm="1">
        <f t="array" ref="A13:A48">_xlfn._xlws.SORT(_xlfn.UNIQUE(tbl_survey_clean[Kota]))</f>
        <v>Balikpapan</v>
      </c>
      <c r="B13">
        <f>IFERROR(AVERAGEIFS(tbl_survey_clean[Rating_Produk],tbl_survey_clean[Kota],$A13,tbl_survey_clean[Bulan_Survei],B$12),0)</f>
        <v>0</v>
      </c>
      <c r="C13">
        <f>IFERROR(AVERAGEIFS(tbl_survey_clean[Rating_Produk],tbl_survey_clean[Kota],$A13,tbl_survey_clean[Bulan_Survei],C$12),0)</f>
        <v>0</v>
      </c>
      <c r="D13">
        <f>IFERROR(AVERAGEIFS(tbl_survey_clean[Rating_Produk],tbl_survey_clean[Kota],$A13,tbl_survey_clean[Bulan_Survei],D$12),0)</f>
        <v>4</v>
      </c>
      <c r="E13">
        <f>IFERROR(AVERAGEIFS(tbl_survey_clean[Rating_Produk],tbl_survey_clean[Kota],$A13,tbl_survey_clean[Bulan_Survei],E$12),0)</f>
        <v>5</v>
      </c>
      <c r="F13">
        <f>IFERROR(AVERAGEIFS(tbl_survey_clean[Rating_Produk],tbl_survey_clean[Kota],$A13,tbl_survey_clean[Bulan_Survei],F$12),0)</f>
        <v>4.5</v>
      </c>
      <c r="G13">
        <f>IFERROR(AVERAGEIFS(tbl_survey_clean[Rating_Produk],tbl_survey_clean[Kota],$A13,tbl_survey_clean[Bulan_Survei],G$12),0)</f>
        <v>5</v>
      </c>
    </row>
    <row r="14" spans="1:10" x14ac:dyDescent="0.3">
      <c r="A14" t="str">
        <v>Bandar Lampung</v>
      </c>
      <c r="B14">
        <f>IFERROR(AVERAGEIFS(tbl_survey_clean[Rating_Produk],tbl_survey_clean[Kota],$A14,tbl_survey_clean[Bulan_Survei],B$12),0)</f>
        <v>2.6666666666666665</v>
      </c>
      <c r="C14">
        <f>IFERROR(AVERAGEIFS(tbl_survey_clean[Rating_Produk],tbl_survey_clean[Kota],$A14,tbl_survey_clean[Bulan_Survei],C$12),0)</f>
        <v>4</v>
      </c>
      <c r="D14">
        <f>IFERROR(AVERAGEIFS(tbl_survey_clean[Rating_Produk],tbl_survey_clean[Kota],$A14,tbl_survey_clean[Bulan_Survei],D$12),0)</f>
        <v>3.5</v>
      </c>
      <c r="E14">
        <f>IFERROR(AVERAGEIFS(tbl_survey_clean[Rating_Produk],tbl_survey_clean[Kota],$A14,tbl_survey_clean[Bulan_Survei],E$12),0)</f>
        <v>4</v>
      </c>
      <c r="F14">
        <f>IFERROR(AVERAGEIFS(tbl_survey_clean[Rating_Produk],tbl_survey_clean[Kota],$A14,tbl_survey_clean[Bulan_Survei],F$12),0)</f>
        <v>0</v>
      </c>
      <c r="G14">
        <f>IFERROR(AVERAGEIFS(tbl_survey_clean[Rating_Produk],tbl_survey_clean[Kota],$A14,tbl_survey_clean[Bulan_Survei],G$12),0)</f>
        <v>4</v>
      </c>
    </row>
    <row r="15" spans="1:10" x14ac:dyDescent="0.3">
      <c r="A15" t="str">
        <v>Bandung</v>
      </c>
      <c r="B15">
        <f>IFERROR(AVERAGEIFS(tbl_survey_clean[Rating_Produk],tbl_survey_clean[Kota],$A15,tbl_survey_clean[Bulan_Survei],B$12),0)</f>
        <v>0</v>
      </c>
      <c r="C15">
        <f>IFERROR(AVERAGEIFS(tbl_survey_clean[Rating_Produk],tbl_survey_clean[Kota],$A15,tbl_survey_clean[Bulan_Survei],C$12),0)</f>
        <v>2</v>
      </c>
      <c r="D15">
        <f>IFERROR(AVERAGEIFS(tbl_survey_clean[Rating_Produk],tbl_survey_clean[Kota],$A15,tbl_survey_clean[Bulan_Survei],D$12),0)</f>
        <v>0</v>
      </c>
      <c r="E15">
        <f>IFERROR(AVERAGEIFS(tbl_survey_clean[Rating_Produk],tbl_survey_clean[Kota],$A15,tbl_survey_clean[Bulan_Survei],E$12),0)</f>
        <v>1</v>
      </c>
      <c r="F15">
        <f>IFERROR(AVERAGEIFS(tbl_survey_clean[Rating_Produk],tbl_survey_clean[Kota],$A15,tbl_survey_clean[Bulan_Survei],F$12),0)</f>
        <v>0</v>
      </c>
      <c r="G15">
        <f>IFERROR(AVERAGEIFS(tbl_survey_clean[Rating_Produk],tbl_survey_clean[Kota],$A15,tbl_survey_clean[Bulan_Survei],G$12),0)</f>
        <v>1</v>
      </c>
    </row>
    <row r="16" spans="1:10" x14ac:dyDescent="0.3">
      <c r="A16" t="str">
        <v>Bantul</v>
      </c>
      <c r="B16">
        <f>IFERROR(AVERAGEIFS(tbl_survey_clean[Rating_Produk],tbl_survey_clean[Kota],$A16,tbl_survey_clean[Bulan_Survei],B$12),0)</f>
        <v>0</v>
      </c>
      <c r="C16">
        <f>IFERROR(AVERAGEIFS(tbl_survey_clean[Rating_Produk],tbl_survey_clean[Kota],$A16,tbl_survey_clean[Bulan_Survei],C$12),0)</f>
        <v>0</v>
      </c>
      <c r="D16">
        <f>IFERROR(AVERAGEIFS(tbl_survey_clean[Rating_Produk],tbl_survey_clean[Kota],$A16,tbl_survey_clean[Bulan_Survei],D$12),0)</f>
        <v>2.5</v>
      </c>
      <c r="E16">
        <f>IFERROR(AVERAGEIFS(tbl_survey_clean[Rating_Produk],tbl_survey_clean[Kota],$A16,tbl_survey_clean[Bulan_Survei],E$12),0)</f>
        <v>3.5</v>
      </c>
      <c r="F16">
        <f>IFERROR(AVERAGEIFS(tbl_survey_clean[Rating_Produk],tbl_survey_clean[Kota],$A16,tbl_survey_clean[Bulan_Survei],F$12),0)</f>
        <v>0</v>
      </c>
      <c r="G16">
        <f>IFERROR(AVERAGEIFS(tbl_survey_clean[Rating_Produk],tbl_survey_clean[Kota],$A16,tbl_survey_clean[Bulan_Survei],G$12),0)</f>
        <v>0</v>
      </c>
    </row>
    <row r="17" spans="1:7" x14ac:dyDescent="0.3">
      <c r="A17" t="str">
        <v>Bekasi</v>
      </c>
      <c r="B17">
        <f>IFERROR(AVERAGEIFS(tbl_survey_clean[Rating_Produk],tbl_survey_clean[Kota],$A17,tbl_survey_clean[Bulan_Survei],B$12),0)</f>
        <v>0</v>
      </c>
      <c r="C17">
        <f>IFERROR(AVERAGEIFS(tbl_survey_clean[Rating_Produk],tbl_survey_clean[Kota],$A17,tbl_survey_clean[Bulan_Survei],C$12),0)</f>
        <v>0</v>
      </c>
      <c r="D17">
        <f>IFERROR(AVERAGEIFS(tbl_survey_clean[Rating_Produk],tbl_survey_clean[Kota],$A17,tbl_survey_clean[Bulan_Survei],D$12),0)</f>
        <v>0</v>
      </c>
      <c r="E17">
        <f>IFERROR(AVERAGEIFS(tbl_survey_clean[Rating_Produk],tbl_survey_clean[Kota],$A17,tbl_survey_clean[Bulan_Survei],E$12),0)</f>
        <v>0</v>
      </c>
      <c r="F17">
        <f>IFERROR(AVERAGEIFS(tbl_survey_clean[Rating_Produk],tbl_survey_clean[Kota],$A17,tbl_survey_clean[Bulan_Survei],F$12),0)</f>
        <v>5</v>
      </c>
      <c r="G17">
        <f>IFERROR(AVERAGEIFS(tbl_survey_clean[Rating_Produk],tbl_survey_clean[Kota],$A17,tbl_survey_clean[Bulan_Survei],G$12),0)</f>
        <v>4</v>
      </c>
    </row>
    <row r="18" spans="1:7" x14ac:dyDescent="0.3">
      <c r="A18" t="str">
        <v>Binjai</v>
      </c>
      <c r="B18">
        <f>IFERROR(AVERAGEIFS(tbl_survey_clean[Rating_Produk],tbl_survey_clean[Kota],$A18,tbl_survey_clean[Bulan_Survei],B$12),0)</f>
        <v>0</v>
      </c>
      <c r="C18">
        <f>IFERROR(AVERAGEIFS(tbl_survey_clean[Rating_Produk],tbl_survey_clean[Kota],$A18,tbl_survey_clean[Bulan_Survei],C$12),0)</f>
        <v>5</v>
      </c>
      <c r="D18">
        <f>IFERROR(AVERAGEIFS(tbl_survey_clean[Rating_Produk],tbl_survey_clean[Kota],$A18,tbl_survey_clean[Bulan_Survei],D$12),0)</f>
        <v>0</v>
      </c>
      <c r="E18">
        <f>IFERROR(AVERAGEIFS(tbl_survey_clean[Rating_Produk],tbl_survey_clean[Kota],$A18,tbl_survey_clean[Bulan_Survei],E$12),0)</f>
        <v>5</v>
      </c>
      <c r="F18">
        <f>IFERROR(AVERAGEIFS(tbl_survey_clean[Rating_Produk],tbl_survey_clean[Kota],$A18,tbl_survey_clean[Bulan_Survei],F$12),0)</f>
        <v>0</v>
      </c>
      <c r="G18">
        <f>IFERROR(AVERAGEIFS(tbl_survey_clean[Rating_Produk],tbl_survey_clean[Kota],$A18,tbl_survey_clean[Bulan_Survei],G$12),0)</f>
        <v>4</v>
      </c>
    </row>
    <row r="19" spans="1:7" x14ac:dyDescent="0.3">
      <c r="A19" t="str">
        <v>Bogor</v>
      </c>
      <c r="B19">
        <f>IFERROR(AVERAGEIFS(tbl_survey_clean[Rating_Produk],tbl_survey_clean[Kota],$A19,tbl_survey_clean[Bulan_Survei],B$12),0)</f>
        <v>0</v>
      </c>
      <c r="C19">
        <f>IFERROR(AVERAGEIFS(tbl_survey_clean[Rating_Produk],tbl_survey_clean[Kota],$A19,tbl_survey_clean[Bulan_Survei],C$12),0)</f>
        <v>0</v>
      </c>
      <c r="D19">
        <f>IFERROR(AVERAGEIFS(tbl_survey_clean[Rating_Produk],tbl_survey_clean[Kota],$A19,tbl_survey_clean[Bulan_Survei],D$12),0)</f>
        <v>0</v>
      </c>
      <c r="E19">
        <f>IFERROR(AVERAGEIFS(tbl_survey_clean[Rating_Produk],tbl_survey_clean[Kota],$A19,tbl_survey_clean[Bulan_Survei],E$12),0)</f>
        <v>0</v>
      </c>
      <c r="F19">
        <f>IFERROR(AVERAGEIFS(tbl_survey_clean[Rating_Produk],tbl_survey_clean[Kota],$A19,tbl_survey_clean[Bulan_Survei],F$12),0)</f>
        <v>0</v>
      </c>
      <c r="G19">
        <f>IFERROR(AVERAGEIFS(tbl_survey_clean[Rating_Produk],tbl_survey_clean[Kota],$A19,tbl_survey_clean[Bulan_Survei],G$12),0)</f>
        <v>1</v>
      </c>
    </row>
    <row r="20" spans="1:7" x14ac:dyDescent="0.3">
      <c r="A20" t="str">
        <v>Cilegon</v>
      </c>
      <c r="B20">
        <f>IFERROR(AVERAGEIFS(tbl_survey_clean[Rating_Produk],tbl_survey_clean[Kota],$A20,tbl_survey_clean[Bulan_Survei],B$12),0)</f>
        <v>0</v>
      </c>
      <c r="C20">
        <f>IFERROR(AVERAGEIFS(tbl_survey_clean[Rating_Produk],tbl_survey_clean[Kota],$A20,tbl_survey_clean[Bulan_Survei],C$12),0)</f>
        <v>0</v>
      </c>
      <c r="D20">
        <f>IFERROR(AVERAGEIFS(tbl_survey_clean[Rating_Produk],tbl_survey_clean[Kota],$A20,tbl_survey_clean[Bulan_Survei],D$12),0)</f>
        <v>4</v>
      </c>
      <c r="E20">
        <f>IFERROR(AVERAGEIFS(tbl_survey_clean[Rating_Produk],tbl_survey_clean[Kota],$A20,tbl_survey_clean[Bulan_Survei],E$12),0)</f>
        <v>1</v>
      </c>
      <c r="F20">
        <f>IFERROR(AVERAGEIFS(tbl_survey_clean[Rating_Produk],tbl_survey_clean[Kota],$A20,tbl_survey_clean[Bulan_Survei],F$12),0)</f>
        <v>5</v>
      </c>
      <c r="G20">
        <f>IFERROR(AVERAGEIFS(tbl_survey_clean[Rating_Produk],tbl_survey_clean[Kota],$A20,tbl_survey_clean[Bulan_Survei],G$12),0)</f>
        <v>2</v>
      </c>
    </row>
    <row r="21" spans="1:7" x14ac:dyDescent="0.3">
      <c r="A21" t="str">
        <v>Denpasar</v>
      </c>
      <c r="B21">
        <f>IFERROR(AVERAGEIFS(tbl_survey_clean[Rating_Produk],tbl_survey_clean[Kota],$A21,tbl_survey_clean[Bulan_Survei],B$12),0)</f>
        <v>3</v>
      </c>
      <c r="C21">
        <f>IFERROR(AVERAGEIFS(tbl_survey_clean[Rating_Produk],tbl_survey_clean[Kota],$A21,tbl_survey_clean[Bulan_Survei],C$12),0)</f>
        <v>0</v>
      </c>
      <c r="D21">
        <f>IFERROR(AVERAGEIFS(tbl_survey_clean[Rating_Produk],tbl_survey_clean[Kota],$A21,tbl_survey_clean[Bulan_Survei],D$12),0)</f>
        <v>3.75</v>
      </c>
      <c r="E21">
        <f>IFERROR(AVERAGEIFS(tbl_survey_clean[Rating_Produk],tbl_survey_clean[Kota],$A21,tbl_survey_clean[Bulan_Survei],E$12),0)</f>
        <v>0</v>
      </c>
      <c r="F21">
        <f>IFERROR(AVERAGEIFS(tbl_survey_clean[Rating_Produk],tbl_survey_clean[Kota],$A21,tbl_survey_clean[Bulan_Survei],F$12),0)</f>
        <v>4</v>
      </c>
      <c r="G21">
        <f>IFERROR(AVERAGEIFS(tbl_survey_clean[Rating_Produk],tbl_survey_clean[Kota],$A21,tbl_survey_clean[Bulan_Survei],G$12),0)</f>
        <v>0</v>
      </c>
    </row>
    <row r="22" spans="1:7" x14ac:dyDescent="0.3">
      <c r="A22" t="str">
        <v>Dumai</v>
      </c>
      <c r="B22">
        <f>IFERROR(AVERAGEIFS(tbl_survey_clean[Rating_Produk],tbl_survey_clean[Kota],$A22,tbl_survey_clean[Bulan_Survei],B$12),0)</f>
        <v>3</v>
      </c>
      <c r="C22">
        <f>IFERROR(AVERAGEIFS(tbl_survey_clean[Rating_Produk],tbl_survey_clean[Kota],$A22,tbl_survey_clean[Bulan_Survei],C$12),0)</f>
        <v>4</v>
      </c>
      <c r="D22">
        <f>IFERROR(AVERAGEIFS(tbl_survey_clean[Rating_Produk],tbl_survey_clean[Kota],$A22,tbl_survey_clean[Bulan_Survei],D$12),0)</f>
        <v>4</v>
      </c>
      <c r="E22">
        <f>IFERROR(AVERAGEIFS(tbl_survey_clean[Rating_Produk],tbl_survey_clean[Kota],$A22,tbl_survey_clean[Bulan_Survei],E$12),0)</f>
        <v>4</v>
      </c>
      <c r="F22">
        <f>IFERROR(AVERAGEIFS(tbl_survey_clean[Rating_Produk],tbl_survey_clean[Kota],$A22,tbl_survey_clean[Bulan_Survei],F$12),0)</f>
        <v>3</v>
      </c>
      <c r="G22">
        <f>IFERROR(AVERAGEIFS(tbl_survey_clean[Rating_Produk],tbl_survey_clean[Kota],$A22,tbl_survey_clean[Bulan_Survei],G$12),0)</f>
        <v>2</v>
      </c>
    </row>
    <row r="23" spans="1:7" x14ac:dyDescent="0.3">
      <c r="A23" t="str">
        <v>Jakarta Barat</v>
      </c>
      <c r="B23">
        <f>IFERROR(AVERAGEIFS(tbl_survey_clean[Rating_Produk],tbl_survey_clean[Kota],$A23,tbl_survey_clean[Bulan_Survei],B$12),0)</f>
        <v>0</v>
      </c>
      <c r="C23">
        <f>IFERROR(AVERAGEIFS(tbl_survey_clean[Rating_Produk],tbl_survey_clean[Kota],$A23,tbl_survey_clean[Bulan_Survei],C$12),0)</f>
        <v>0</v>
      </c>
      <c r="D23">
        <f>IFERROR(AVERAGEIFS(tbl_survey_clean[Rating_Produk],tbl_survey_clean[Kota],$A23,tbl_survey_clean[Bulan_Survei],D$12),0)</f>
        <v>0</v>
      </c>
      <c r="E23">
        <f>IFERROR(AVERAGEIFS(tbl_survey_clean[Rating_Produk],tbl_survey_clean[Kota],$A23,tbl_survey_clean[Bulan_Survei],E$12),0)</f>
        <v>3.5</v>
      </c>
      <c r="F23">
        <f>IFERROR(AVERAGEIFS(tbl_survey_clean[Rating_Produk],tbl_survey_clean[Kota],$A23,tbl_survey_clean[Bulan_Survei],F$12),0)</f>
        <v>0</v>
      </c>
      <c r="G23">
        <f>IFERROR(AVERAGEIFS(tbl_survey_clean[Rating_Produk],tbl_survey_clean[Kota],$A23,tbl_survey_clean[Bulan_Survei],G$12),0)</f>
        <v>5</v>
      </c>
    </row>
    <row r="24" spans="1:7" x14ac:dyDescent="0.3">
      <c r="A24" t="str">
        <v>Jakarta Pusat</v>
      </c>
      <c r="B24">
        <f>IFERROR(AVERAGEIFS(tbl_survey_clean[Rating_Produk],tbl_survey_clean[Kota],$A24,tbl_survey_clean[Bulan_Survei],B$12),0)</f>
        <v>3</v>
      </c>
      <c r="C24">
        <f>IFERROR(AVERAGEIFS(tbl_survey_clean[Rating_Produk],tbl_survey_clean[Kota],$A24,tbl_survey_clean[Bulan_Survei],C$12),0)</f>
        <v>0</v>
      </c>
      <c r="D24">
        <f>IFERROR(AVERAGEIFS(tbl_survey_clean[Rating_Produk],tbl_survey_clean[Kota],$A24,tbl_survey_clean[Bulan_Survei],D$12),0)</f>
        <v>4</v>
      </c>
      <c r="E24">
        <f>IFERROR(AVERAGEIFS(tbl_survey_clean[Rating_Produk],tbl_survey_clean[Kota],$A24,tbl_survey_clean[Bulan_Survei],E$12),0)</f>
        <v>0</v>
      </c>
      <c r="F24">
        <f>IFERROR(AVERAGEIFS(tbl_survey_clean[Rating_Produk],tbl_survey_clean[Kota],$A24,tbl_survey_clean[Bulan_Survei],F$12),0)</f>
        <v>3</v>
      </c>
      <c r="G24">
        <f>IFERROR(AVERAGEIFS(tbl_survey_clean[Rating_Produk],tbl_survey_clean[Kota],$A24,tbl_survey_clean[Bulan_Survei],G$12),0)</f>
        <v>4</v>
      </c>
    </row>
    <row r="25" spans="1:7" x14ac:dyDescent="0.3">
      <c r="A25" t="str">
        <v>Jakarta Selatan</v>
      </c>
      <c r="B25">
        <f>IFERROR(AVERAGEIFS(tbl_survey_clean[Rating_Produk],tbl_survey_clean[Kota],$A25,tbl_survey_clean[Bulan_Survei],B$12),0)</f>
        <v>1.5</v>
      </c>
      <c r="C25">
        <f>IFERROR(AVERAGEIFS(tbl_survey_clean[Rating_Produk],tbl_survey_clean[Kota],$A25,tbl_survey_clean[Bulan_Survei],C$12),0)</f>
        <v>0</v>
      </c>
      <c r="D25">
        <f>IFERROR(AVERAGEIFS(tbl_survey_clean[Rating_Produk],tbl_survey_clean[Kota],$A25,tbl_survey_clean[Bulan_Survei],D$12),0)</f>
        <v>4</v>
      </c>
      <c r="E25">
        <f>IFERROR(AVERAGEIFS(tbl_survey_clean[Rating_Produk],tbl_survey_clean[Kota],$A25,tbl_survey_clean[Bulan_Survei],E$12),0)</f>
        <v>0</v>
      </c>
      <c r="F25">
        <f>IFERROR(AVERAGEIFS(tbl_survey_clean[Rating_Produk],tbl_survey_clean[Kota],$A25,tbl_survey_clean[Bulan_Survei],F$12),0)</f>
        <v>0</v>
      </c>
      <c r="G25">
        <f>IFERROR(AVERAGEIFS(tbl_survey_clean[Rating_Produk],tbl_survey_clean[Kota],$A25,tbl_survey_clean[Bulan_Survei],G$12),0)</f>
        <v>3</v>
      </c>
    </row>
    <row r="26" spans="1:7" x14ac:dyDescent="0.3">
      <c r="A26" t="str">
        <v>Jayapura</v>
      </c>
      <c r="B26">
        <f>IFERROR(AVERAGEIFS(tbl_survey_clean[Rating_Produk],tbl_survey_clean[Kota],$A26,tbl_survey_clean[Bulan_Survei],B$12),0)</f>
        <v>1</v>
      </c>
      <c r="C26">
        <f>IFERROR(AVERAGEIFS(tbl_survey_clean[Rating_Produk],tbl_survey_clean[Kota],$A26,tbl_survey_clean[Bulan_Survei],C$12),0)</f>
        <v>0</v>
      </c>
      <c r="D26">
        <f>IFERROR(AVERAGEIFS(tbl_survey_clean[Rating_Produk],tbl_survey_clean[Kota],$A26,tbl_survey_clean[Bulan_Survei],D$12),0)</f>
        <v>3.5</v>
      </c>
      <c r="E26">
        <f>IFERROR(AVERAGEIFS(tbl_survey_clean[Rating_Produk],tbl_survey_clean[Kota],$A26,tbl_survey_clean[Bulan_Survei],E$12),0)</f>
        <v>0</v>
      </c>
      <c r="F26">
        <f>IFERROR(AVERAGEIFS(tbl_survey_clean[Rating_Produk],tbl_survey_clean[Kota],$A26,tbl_survey_clean[Bulan_Survei],F$12),0)</f>
        <v>0</v>
      </c>
      <c r="G26">
        <f>IFERROR(AVERAGEIFS(tbl_survey_clean[Rating_Produk],tbl_survey_clean[Kota],$A26,tbl_survey_clean[Bulan_Survei],G$12),0)</f>
        <v>0</v>
      </c>
    </row>
    <row r="27" spans="1:7" x14ac:dyDescent="0.3">
      <c r="A27" t="str">
        <v>Kuta</v>
      </c>
      <c r="B27">
        <f>IFERROR(AVERAGEIFS(tbl_survey_clean[Rating_Produk],tbl_survey_clean[Kota],$A27,tbl_survey_clean[Bulan_Survei],B$12),0)</f>
        <v>4</v>
      </c>
      <c r="C27">
        <f>IFERROR(AVERAGEIFS(tbl_survey_clean[Rating_Produk],tbl_survey_clean[Kota],$A27,tbl_survey_clean[Bulan_Survei],C$12),0)</f>
        <v>0</v>
      </c>
      <c r="D27">
        <f>IFERROR(AVERAGEIFS(tbl_survey_clean[Rating_Produk],tbl_survey_clean[Kota],$A27,tbl_survey_clean[Bulan_Survei],D$12),0)</f>
        <v>3</v>
      </c>
      <c r="E27">
        <f>IFERROR(AVERAGEIFS(tbl_survey_clean[Rating_Produk],tbl_survey_clean[Kota],$A27,tbl_survey_clean[Bulan_Survei],E$12),0)</f>
        <v>2</v>
      </c>
      <c r="F27">
        <f>IFERROR(AVERAGEIFS(tbl_survey_clean[Rating_Produk],tbl_survey_clean[Kota],$A27,tbl_survey_clean[Bulan_Survei],F$12),0)</f>
        <v>2</v>
      </c>
      <c r="G27">
        <f>IFERROR(AVERAGEIFS(tbl_survey_clean[Rating_Produk],tbl_survey_clean[Kota],$A27,tbl_survey_clean[Bulan_Survei],G$12),0)</f>
        <v>3</v>
      </c>
    </row>
    <row r="28" spans="1:7" x14ac:dyDescent="0.3">
      <c r="A28" t="str">
        <v>Lubuklinggau</v>
      </c>
      <c r="B28">
        <f>IFERROR(AVERAGEIFS(tbl_survey_clean[Rating_Produk],tbl_survey_clean[Kota],$A28,tbl_survey_clean[Bulan_Survei],B$12),0)</f>
        <v>3</v>
      </c>
      <c r="C28">
        <f>IFERROR(AVERAGEIFS(tbl_survey_clean[Rating_Produk],tbl_survey_clean[Kota],$A28,tbl_survey_clean[Bulan_Survei],C$12),0)</f>
        <v>4</v>
      </c>
      <c r="D28">
        <f>IFERROR(AVERAGEIFS(tbl_survey_clean[Rating_Produk],tbl_survey_clean[Kota],$A28,tbl_survey_clean[Bulan_Survei],D$12),0)</f>
        <v>2</v>
      </c>
      <c r="E28">
        <f>IFERROR(AVERAGEIFS(tbl_survey_clean[Rating_Produk],tbl_survey_clean[Kota],$A28,tbl_survey_clean[Bulan_Survei],E$12),0)</f>
        <v>1.5</v>
      </c>
      <c r="F28">
        <f>IFERROR(AVERAGEIFS(tbl_survey_clean[Rating_Produk],tbl_survey_clean[Kota],$A28,tbl_survey_clean[Bulan_Survei],F$12),0)</f>
        <v>3</v>
      </c>
      <c r="G28">
        <f>IFERROR(AVERAGEIFS(tbl_survey_clean[Rating_Produk],tbl_survey_clean[Kota],$A28,tbl_survey_clean[Bulan_Survei],G$12),0)</f>
        <v>4.5</v>
      </c>
    </row>
    <row r="29" spans="1:7" x14ac:dyDescent="0.3">
      <c r="A29" t="str">
        <v>Magelang</v>
      </c>
      <c r="B29">
        <f>IFERROR(AVERAGEIFS(tbl_survey_clean[Rating_Produk],tbl_survey_clean[Kota],$A29,tbl_survey_clean[Bulan_Survei],B$12),0)</f>
        <v>0</v>
      </c>
      <c r="C29">
        <f>IFERROR(AVERAGEIFS(tbl_survey_clean[Rating_Produk],tbl_survey_clean[Kota],$A29,tbl_survey_clean[Bulan_Survei],C$12),0)</f>
        <v>0</v>
      </c>
      <c r="D29">
        <f>IFERROR(AVERAGEIFS(tbl_survey_clean[Rating_Produk],tbl_survey_clean[Kota],$A29,tbl_survey_clean[Bulan_Survei],D$12),0)</f>
        <v>0</v>
      </c>
      <c r="E29">
        <f>IFERROR(AVERAGEIFS(tbl_survey_clean[Rating_Produk],tbl_survey_clean[Kota],$A29,tbl_survey_clean[Bulan_Survei],E$12),0)</f>
        <v>0</v>
      </c>
      <c r="F29">
        <f>IFERROR(AVERAGEIFS(tbl_survey_clean[Rating_Produk],tbl_survey_clean[Kota],$A29,tbl_survey_clean[Bulan_Survei],F$12),0)</f>
        <v>3</v>
      </c>
      <c r="G29">
        <f>IFERROR(AVERAGEIFS(tbl_survey_clean[Rating_Produk],tbl_survey_clean[Kota],$A29,tbl_survey_clean[Bulan_Survei],G$12),0)</f>
        <v>3</v>
      </c>
    </row>
    <row r="30" spans="1:7" x14ac:dyDescent="0.3">
      <c r="A30" t="str">
        <v>Makassar</v>
      </c>
      <c r="B30">
        <f>IFERROR(AVERAGEIFS(tbl_survey_clean[Rating_Produk],tbl_survey_clean[Kota],$A30,tbl_survey_clean[Bulan_Survei],B$12),0)</f>
        <v>4.5</v>
      </c>
      <c r="C30">
        <f>IFERROR(AVERAGEIFS(tbl_survey_clean[Rating_Produk],tbl_survey_clean[Kota],$A30,tbl_survey_clean[Bulan_Survei],C$12),0)</f>
        <v>0</v>
      </c>
      <c r="D30">
        <f>IFERROR(AVERAGEIFS(tbl_survey_clean[Rating_Produk],tbl_survey_clean[Kota],$A30,tbl_survey_clean[Bulan_Survei],D$12),0)</f>
        <v>0</v>
      </c>
      <c r="E30">
        <f>IFERROR(AVERAGEIFS(tbl_survey_clean[Rating_Produk],tbl_survey_clean[Kota],$A30,tbl_survey_clean[Bulan_Survei],E$12),0)</f>
        <v>3</v>
      </c>
      <c r="F30">
        <f>IFERROR(AVERAGEIFS(tbl_survey_clean[Rating_Produk],tbl_survey_clean[Kota],$A30,tbl_survey_clean[Bulan_Survei],F$12),0)</f>
        <v>0</v>
      </c>
      <c r="G30">
        <f>IFERROR(AVERAGEIFS(tbl_survey_clean[Rating_Produk],tbl_survey_clean[Kota],$A30,tbl_survey_clean[Bulan_Survei],G$12),0)</f>
        <v>1</v>
      </c>
    </row>
    <row r="31" spans="1:7" x14ac:dyDescent="0.3">
      <c r="A31" t="str">
        <v>Malang</v>
      </c>
      <c r="B31">
        <f>IFERROR(AVERAGEIFS(tbl_survey_clean[Rating_Produk],tbl_survey_clean[Kota],$A31,tbl_survey_clean[Bulan_Survei],B$12),0)</f>
        <v>5</v>
      </c>
      <c r="C31">
        <f>IFERROR(AVERAGEIFS(tbl_survey_clean[Rating_Produk],tbl_survey_clean[Kota],$A31,tbl_survey_clean[Bulan_Survei],C$12),0)</f>
        <v>0</v>
      </c>
      <c r="D31">
        <f>IFERROR(AVERAGEIFS(tbl_survey_clean[Rating_Produk],tbl_survey_clean[Kota],$A31,tbl_survey_clean[Bulan_Survei],D$12),0)</f>
        <v>3</v>
      </c>
      <c r="E31">
        <f>IFERROR(AVERAGEIFS(tbl_survey_clean[Rating_Produk],tbl_survey_clean[Kota],$A31,tbl_survey_clean[Bulan_Survei],E$12),0)</f>
        <v>0</v>
      </c>
      <c r="F31">
        <f>IFERROR(AVERAGEIFS(tbl_survey_clean[Rating_Produk],tbl_survey_clean[Kota],$A31,tbl_survey_clean[Bulan_Survei],F$12),0)</f>
        <v>1</v>
      </c>
      <c r="G31">
        <f>IFERROR(AVERAGEIFS(tbl_survey_clean[Rating_Produk],tbl_survey_clean[Kota],$A31,tbl_survey_clean[Bulan_Survei],G$12),0)</f>
        <v>4</v>
      </c>
    </row>
    <row r="32" spans="1:7" x14ac:dyDescent="0.3">
      <c r="A32" t="str">
        <v>Medan</v>
      </c>
      <c r="B32">
        <f>IFERROR(AVERAGEIFS(tbl_survey_clean[Rating_Produk],tbl_survey_clean[Kota],$A32,tbl_survey_clean[Bulan_Survei],B$12),0)</f>
        <v>0</v>
      </c>
      <c r="C32">
        <f>IFERROR(AVERAGEIFS(tbl_survey_clean[Rating_Produk],tbl_survey_clean[Kota],$A32,tbl_survey_clean[Bulan_Survei],C$12),0)</f>
        <v>2</v>
      </c>
      <c r="D32">
        <f>IFERROR(AVERAGEIFS(tbl_survey_clean[Rating_Produk],tbl_survey_clean[Kota],$A32,tbl_survey_clean[Bulan_Survei],D$12),0)</f>
        <v>0</v>
      </c>
      <c r="E32">
        <f>IFERROR(AVERAGEIFS(tbl_survey_clean[Rating_Produk],tbl_survey_clean[Kota],$A32,tbl_survey_clean[Bulan_Survei],E$12),0)</f>
        <v>3</v>
      </c>
      <c r="F32">
        <f>IFERROR(AVERAGEIFS(tbl_survey_clean[Rating_Produk],tbl_survey_clean[Kota],$A32,tbl_survey_clean[Bulan_Survei],F$12),0)</f>
        <v>3</v>
      </c>
      <c r="G32">
        <f>IFERROR(AVERAGEIFS(tbl_survey_clean[Rating_Produk],tbl_survey_clean[Kota],$A32,tbl_survey_clean[Bulan_Survei],G$12),0)</f>
        <v>2.6666666666666665</v>
      </c>
    </row>
    <row r="33" spans="1:7" x14ac:dyDescent="0.3">
      <c r="A33" t="str">
        <v>Metro</v>
      </c>
      <c r="B33">
        <f>IFERROR(AVERAGEIFS(tbl_survey_clean[Rating_Produk],tbl_survey_clean[Kota],$A33,tbl_survey_clean[Bulan_Survei],B$12),0)</f>
        <v>1</v>
      </c>
      <c r="C33">
        <f>IFERROR(AVERAGEIFS(tbl_survey_clean[Rating_Produk],tbl_survey_clean[Kota],$A33,tbl_survey_clean[Bulan_Survei],C$12),0)</f>
        <v>5</v>
      </c>
      <c r="D33">
        <f>IFERROR(AVERAGEIFS(tbl_survey_clean[Rating_Produk],tbl_survey_clean[Kota],$A33,tbl_survey_clean[Bulan_Survei],D$12),0)</f>
        <v>0</v>
      </c>
      <c r="E33">
        <f>IFERROR(AVERAGEIFS(tbl_survey_clean[Rating_Produk],tbl_survey_clean[Kota],$A33,tbl_survey_clean[Bulan_Survei],E$12),0)</f>
        <v>0</v>
      </c>
      <c r="F33">
        <f>IFERROR(AVERAGEIFS(tbl_survey_clean[Rating_Produk],tbl_survey_clean[Kota],$A33,tbl_survey_clean[Bulan_Survei],F$12),0)</f>
        <v>0</v>
      </c>
      <c r="G33">
        <f>IFERROR(AVERAGEIFS(tbl_survey_clean[Rating_Produk],tbl_survey_clean[Kota],$A33,tbl_survey_clean[Bulan_Survei],G$12),0)</f>
        <v>0</v>
      </c>
    </row>
    <row r="34" spans="1:7" x14ac:dyDescent="0.3">
      <c r="A34" t="str">
        <v>Palembang</v>
      </c>
      <c r="B34">
        <f>IFERROR(AVERAGEIFS(tbl_survey_clean[Rating_Produk],tbl_survey_clean[Kota],$A34,tbl_survey_clean[Bulan_Survei],B$12),0)</f>
        <v>5</v>
      </c>
      <c r="C34">
        <f>IFERROR(AVERAGEIFS(tbl_survey_clean[Rating_Produk],tbl_survey_clean[Kota],$A34,tbl_survey_clean[Bulan_Survei],C$12),0)</f>
        <v>5</v>
      </c>
      <c r="D34">
        <f>IFERROR(AVERAGEIFS(tbl_survey_clean[Rating_Produk],tbl_survey_clean[Kota],$A34,tbl_survey_clean[Bulan_Survei],D$12),0)</f>
        <v>0</v>
      </c>
      <c r="E34">
        <f>IFERROR(AVERAGEIFS(tbl_survey_clean[Rating_Produk],tbl_survey_clean[Kota],$A34,tbl_survey_clean[Bulan_Survei],E$12),0)</f>
        <v>5</v>
      </c>
      <c r="F34">
        <f>IFERROR(AVERAGEIFS(tbl_survey_clean[Rating_Produk],tbl_survey_clean[Kota],$A34,tbl_survey_clean[Bulan_Survei],F$12),0)</f>
        <v>2.5</v>
      </c>
      <c r="G34">
        <f>IFERROR(AVERAGEIFS(tbl_survey_clean[Rating_Produk],tbl_survey_clean[Kota],$A34,tbl_survey_clean[Bulan_Survei],G$12),0)</f>
        <v>5</v>
      </c>
    </row>
    <row r="35" spans="1:7" x14ac:dyDescent="0.3">
      <c r="A35" t="str">
        <v>Parepare</v>
      </c>
      <c r="B35">
        <f>IFERROR(AVERAGEIFS(tbl_survey_clean[Rating_Produk],tbl_survey_clean[Kota],$A35,tbl_survey_clean[Bulan_Survei],B$12),0)</f>
        <v>4.333333333333333</v>
      </c>
      <c r="C35">
        <f>IFERROR(AVERAGEIFS(tbl_survey_clean[Rating_Produk],tbl_survey_clean[Kota],$A35,tbl_survey_clean[Bulan_Survei],C$12),0)</f>
        <v>5</v>
      </c>
      <c r="D35">
        <f>IFERROR(AVERAGEIFS(tbl_survey_clean[Rating_Produk],tbl_survey_clean[Kota],$A35,tbl_survey_clean[Bulan_Survei],D$12),0)</f>
        <v>2.5</v>
      </c>
      <c r="E35">
        <f>IFERROR(AVERAGEIFS(tbl_survey_clean[Rating_Produk],tbl_survey_clean[Kota],$A35,tbl_survey_clean[Bulan_Survei],E$12),0)</f>
        <v>3</v>
      </c>
      <c r="F35">
        <f>IFERROR(AVERAGEIFS(tbl_survey_clean[Rating_Produk],tbl_survey_clean[Kota],$A35,tbl_survey_clean[Bulan_Survei],F$12),0)</f>
        <v>3</v>
      </c>
      <c r="G35">
        <f>IFERROR(AVERAGEIFS(tbl_survey_clean[Rating_Produk],tbl_survey_clean[Kota],$A35,tbl_survey_clean[Bulan_Survei],G$12),0)</f>
        <v>3</v>
      </c>
    </row>
    <row r="36" spans="1:7" x14ac:dyDescent="0.3">
      <c r="A36" t="str">
        <v>Pekanbaru</v>
      </c>
      <c r="B36">
        <f>IFERROR(AVERAGEIFS(tbl_survey_clean[Rating_Produk],tbl_survey_clean[Kota],$A36,tbl_survey_clean[Bulan_Survei],B$12),0)</f>
        <v>0</v>
      </c>
      <c r="C36">
        <f>IFERROR(AVERAGEIFS(tbl_survey_clean[Rating_Produk],tbl_survey_clean[Kota],$A36,tbl_survey_clean[Bulan_Survei],C$12),0)</f>
        <v>0</v>
      </c>
      <c r="D36">
        <f>IFERROR(AVERAGEIFS(tbl_survey_clean[Rating_Produk],tbl_survey_clean[Kota],$A36,tbl_survey_clean[Bulan_Survei],D$12),0)</f>
        <v>2.5</v>
      </c>
      <c r="E36">
        <f>IFERROR(AVERAGEIFS(tbl_survey_clean[Rating_Produk],tbl_survey_clean[Kota],$A36,tbl_survey_clean[Bulan_Survei],E$12),0)</f>
        <v>4</v>
      </c>
      <c r="F36">
        <f>IFERROR(AVERAGEIFS(tbl_survey_clean[Rating_Produk],tbl_survey_clean[Kota],$A36,tbl_survey_clean[Bulan_Survei],F$12),0)</f>
        <v>2</v>
      </c>
      <c r="G36">
        <f>IFERROR(AVERAGEIFS(tbl_survey_clean[Rating_Produk],tbl_survey_clean[Kota],$A36,tbl_survey_clean[Bulan_Survei],G$12),0)</f>
        <v>0</v>
      </c>
    </row>
    <row r="37" spans="1:7" x14ac:dyDescent="0.3">
      <c r="A37" t="str">
        <v>Pematangsiantar</v>
      </c>
      <c r="B37">
        <f>IFERROR(AVERAGEIFS(tbl_survey_clean[Rating_Produk],tbl_survey_clean[Kota],$A37,tbl_survey_clean[Bulan_Survei],B$12),0)</f>
        <v>5</v>
      </c>
      <c r="C37">
        <f>IFERROR(AVERAGEIFS(tbl_survey_clean[Rating_Produk],tbl_survey_clean[Kota],$A37,tbl_survey_clean[Bulan_Survei],C$12),0)</f>
        <v>5</v>
      </c>
      <c r="D37">
        <f>IFERROR(AVERAGEIFS(tbl_survey_clean[Rating_Produk],tbl_survey_clean[Kota],$A37,tbl_survey_clean[Bulan_Survei],D$12),0)</f>
        <v>2</v>
      </c>
      <c r="E37">
        <f>IFERROR(AVERAGEIFS(tbl_survey_clean[Rating_Produk],tbl_survey_clean[Kota],$A37,tbl_survey_clean[Bulan_Survei],E$12),0)</f>
        <v>0</v>
      </c>
      <c r="F37">
        <f>IFERROR(AVERAGEIFS(tbl_survey_clean[Rating_Produk],tbl_survey_clean[Kota],$A37,tbl_survey_clean[Bulan_Survei],F$12),0)</f>
        <v>1</v>
      </c>
      <c r="G37">
        <f>IFERROR(AVERAGEIFS(tbl_survey_clean[Rating_Produk],tbl_survey_clean[Kota],$A37,tbl_survey_clean[Bulan_Survei],G$12),0)</f>
        <v>0</v>
      </c>
    </row>
    <row r="38" spans="1:7" x14ac:dyDescent="0.3">
      <c r="A38" t="str">
        <v>Samarinda</v>
      </c>
      <c r="B38">
        <f>IFERROR(AVERAGEIFS(tbl_survey_clean[Rating_Produk],tbl_survey_clean[Kota],$A38,tbl_survey_clean[Bulan_Survei],B$12),0)</f>
        <v>3</v>
      </c>
      <c r="C38">
        <f>IFERROR(AVERAGEIFS(tbl_survey_clean[Rating_Produk],tbl_survey_clean[Kota],$A38,tbl_survey_clean[Bulan_Survei],C$12),0)</f>
        <v>3</v>
      </c>
      <c r="D38">
        <f>IFERROR(AVERAGEIFS(tbl_survey_clean[Rating_Produk],tbl_survey_clean[Kota],$A38,tbl_survey_clean[Bulan_Survei],D$12),0)</f>
        <v>0</v>
      </c>
      <c r="E38">
        <f>IFERROR(AVERAGEIFS(tbl_survey_clean[Rating_Produk],tbl_survey_clean[Kota],$A38,tbl_survey_clean[Bulan_Survei],E$12),0)</f>
        <v>0</v>
      </c>
      <c r="F38">
        <f>IFERROR(AVERAGEIFS(tbl_survey_clean[Rating_Produk],tbl_survey_clean[Kota],$A38,tbl_survey_clean[Bulan_Survei],F$12),0)</f>
        <v>2</v>
      </c>
      <c r="G38">
        <f>IFERROR(AVERAGEIFS(tbl_survey_clean[Rating_Produk],tbl_survey_clean[Kota],$A38,tbl_survey_clean[Bulan_Survei],G$12),0)</f>
        <v>0</v>
      </c>
    </row>
    <row r="39" spans="1:7" x14ac:dyDescent="0.3">
      <c r="A39" t="str">
        <v>Semarang</v>
      </c>
      <c r="B39">
        <f>IFERROR(AVERAGEIFS(tbl_survey_clean[Rating_Produk],tbl_survey_clean[Kota],$A39,tbl_survey_clean[Bulan_Survei],B$12),0)</f>
        <v>4</v>
      </c>
      <c r="C39">
        <f>IFERROR(AVERAGEIFS(tbl_survey_clean[Rating_Produk],tbl_survey_clean[Kota],$A39,tbl_survey_clean[Bulan_Survei],C$12),0)</f>
        <v>2.6666666666666665</v>
      </c>
      <c r="D39">
        <f>IFERROR(AVERAGEIFS(tbl_survey_clean[Rating_Produk],tbl_survey_clean[Kota],$A39,tbl_survey_clean[Bulan_Survei],D$12),0)</f>
        <v>4</v>
      </c>
      <c r="E39">
        <f>IFERROR(AVERAGEIFS(tbl_survey_clean[Rating_Produk],tbl_survey_clean[Kota],$A39,tbl_survey_clean[Bulan_Survei],E$12),0)</f>
        <v>0</v>
      </c>
      <c r="F39">
        <f>IFERROR(AVERAGEIFS(tbl_survey_clean[Rating_Produk],tbl_survey_clean[Kota],$A39,tbl_survey_clean[Bulan_Survei],F$12),0)</f>
        <v>0</v>
      </c>
      <c r="G39">
        <f>IFERROR(AVERAGEIFS(tbl_survey_clean[Rating_Produk],tbl_survey_clean[Kota],$A39,tbl_survey_clean[Bulan_Survei],G$12),0)</f>
        <v>3</v>
      </c>
    </row>
    <row r="40" spans="1:7" x14ac:dyDescent="0.3">
      <c r="A40" t="str">
        <v>Serang</v>
      </c>
      <c r="B40">
        <f>IFERROR(AVERAGEIFS(tbl_survey_clean[Rating_Produk],tbl_survey_clean[Kota],$A40,tbl_survey_clean[Bulan_Survei],B$12),0)</f>
        <v>2</v>
      </c>
      <c r="C40">
        <f>IFERROR(AVERAGEIFS(tbl_survey_clean[Rating_Produk],tbl_survey_clean[Kota],$A40,tbl_survey_clean[Bulan_Survei],C$12),0)</f>
        <v>2</v>
      </c>
      <c r="D40">
        <f>IFERROR(AVERAGEIFS(tbl_survey_clean[Rating_Produk],tbl_survey_clean[Kota],$A40,tbl_survey_clean[Bulan_Survei],D$12),0)</f>
        <v>2</v>
      </c>
      <c r="E40">
        <f>IFERROR(AVERAGEIFS(tbl_survey_clean[Rating_Produk],tbl_survey_clean[Kota],$A40,tbl_survey_clean[Bulan_Survei],E$12),0)</f>
        <v>3</v>
      </c>
      <c r="F40">
        <f>IFERROR(AVERAGEIFS(tbl_survey_clean[Rating_Produk],tbl_survey_clean[Kota],$A40,tbl_survey_clean[Bulan_Survei],F$12),0)</f>
        <v>0</v>
      </c>
      <c r="G40">
        <f>IFERROR(AVERAGEIFS(tbl_survey_clean[Rating_Produk],tbl_survey_clean[Kota],$A40,tbl_survey_clean[Bulan_Survei],G$12),0)</f>
        <v>4</v>
      </c>
    </row>
    <row r="41" spans="1:7" x14ac:dyDescent="0.3">
      <c r="A41" t="str">
        <v>Sidoarjo</v>
      </c>
      <c r="B41">
        <f>IFERROR(AVERAGEIFS(tbl_survey_clean[Rating_Produk],tbl_survey_clean[Kota],$A41,tbl_survey_clean[Bulan_Survei],B$12),0)</f>
        <v>4</v>
      </c>
      <c r="C41">
        <f>IFERROR(AVERAGEIFS(tbl_survey_clean[Rating_Produk],tbl_survey_clean[Kota],$A41,tbl_survey_clean[Bulan_Survei],C$12),0)</f>
        <v>1.5</v>
      </c>
      <c r="D41">
        <f>IFERROR(AVERAGEIFS(tbl_survey_clean[Rating_Harga],tbl_survey_clean[Gender],$A41,tbl_survey_clean[Nama],D$12),0)</f>
        <v>0</v>
      </c>
      <c r="E41">
        <f>IFERROR(AVERAGEIFS(tbl_survey_clean[Rating_Produk],tbl_survey_clean[Kota],$A41,tbl_survey_clean[Bulan_Survei],E$12),0)</f>
        <v>2</v>
      </c>
      <c r="F41">
        <f>IFERROR(AVERAGEIFS(tbl_survey_clean[Rating_Produk],tbl_survey_clean[Kota],$A41,tbl_survey_clean[Bulan_Survei],F$12),0)</f>
        <v>0</v>
      </c>
      <c r="G41">
        <f>IFERROR(AVERAGEIFS(tbl_survey_clean[Rating_Produk],tbl_survey_clean[Kota],$A41,tbl_survey_clean[Bulan_Survei],G$12),0)</f>
        <v>5</v>
      </c>
    </row>
    <row r="42" spans="1:7" x14ac:dyDescent="0.3">
      <c r="A42" t="str">
        <v>Sleman</v>
      </c>
      <c r="B42">
        <f>IFERROR(AVERAGEIFS(tbl_survey_clean[Rating_Produk],tbl_survey_clean[Kota],$A42,tbl_survey_clean[Bulan_Survei],B$12),0)</f>
        <v>0</v>
      </c>
      <c r="C42">
        <f>IFERROR(AVERAGEIFS(tbl_survey_clean[Rating_Produk],tbl_survey_clean[Kota],$A42,tbl_survey_clean[Bulan_Survei],C$12),0)</f>
        <v>0</v>
      </c>
      <c r="D42">
        <f>IFERROR(AVERAGEIFS(tbl_survey_clean[Rating_Harga],tbl_survey_clean[Gender],$A42,tbl_survey_clean[Nama],D$12),0)</f>
        <v>0</v>
      </c>
      <c r="E42">
        <f>IFERROR(AVERAGEIFS(tbl_survey_clean[Rating_Produk],tbl_survey_clean[Kota],$A42,tbl_survey_clean[Bulan_Survei],E$12),0)</f>
        <v>4</v>
      </c>
      <c r="F42">
        <f>IFERROR(AVERAGEIFS(tbl_survey_clean[Rating_Produk],tbl_survey_clean[Kota],$A42,tbl_survey_clean[Bulan_Survei],F$12),0)</f>
        <v>1</v>
      </c>
      <c r="G42">
        <f>IFERROR(AVERAGEIFS(tbl_survey_clean[Rating_Produk],tbl_survey_clean[Kota],$A42,tbl_survey_clean[Bulan_Survei],G$12),0)</f>
        <v>0</v>
      </c>
    </row>
    <row r="43" spans="1:7" x14ac:dyDescent="0.3">
      <c r="A43" t="str">
        <v>Solo</v>
      </c>
      <c r="B43">
        <f>IFERROR(AVERAGEIFS(tbl_survey_clean[Rating_Produk],tbl_survey_clean[Kota],$A43,tbl_survey_clean[Bulan_Survei],B$12),0)</f>
        <v>1.5</v>
      </c>
      <c r="C43">
        <f>IFERROR(AVERAGEIFS(tbl_survey_clean[Rating_Produk],tbl_survey_clean[Kota],$A43,tbl_survey_clean[Bulan_Survei],C$12),0)</f>
        <v>4</v>
      </c>
      <c r="D43">
        <f>IFERROR(AVERAGEIFS(tbl_survey_clean[Rating_Harga],tbl_survey_clean[Gender],$A43,tbl_survey_clean[Nama],D$12),0)</f>
        <v>0</v>
      </c>
      <c r="E43">
        <f>IFERROR(AVERAGEIFS(tbl_survey_clean[Rating_Produk],tbl_survey_clean[Kota],$A43,tbl_survey_clean[Bulan_Survei],E$12),0)</f>
        <v>0</v>
      </c>
      <c r="F43">
        <f>IFERROR(AVERAGEIFS(tbl_survey_clean[Rating_Produk],tbl_survey_clean[Kota],$A43,tbl_survey_clean[Bulan_Survei],F$12),0)</f>
        <v>0</v>
      </c>
      <c r="G43">
        <f>IFERROR(AVERAGEIFS(tbl_survey_clean[Rating_Produk],tbl_survey_clean[Kota],$A43,tbl_survey_clean[Bulan_Survei],G$12),0)</f>
        <v>1</v>
      </c>
    </row>
    <row r="44" spans="1:7" x14ac:dyDescent="0.3">
      <c r="A44" t="str">
        <v>Sorong</v>
      </c>
      <c r="B44">
        <f>IFERROR(AVERAGEIFS(tbl_survey_clean[Rating_Produk],tbl_survey_clean[Kota],$A44,tbl_survey_clean[Bulan_Survei],B$12),0)</f>
        <v>0</v>
      </c>
      <c r="C44">
        <f>IFERROR(AVERAGEIFS(tbl_survey_clean[Rating_Produk],tbl_survey_clean[Kota],$A44,tbl_survey_clean[Bulan_Survei],C$12),0)</f>
        <v>4</v>
      </c>
      <c r="D44">
        <f>IFERROR(AVERAGEIFS(tbl_survey_clean[Rating_Harga],tbl_survey_clean[Gender],$A44,tbl_survey_clean[Nama],D$12),0)</f>
        <v>0</v>
      </c>
      <c r="E44">
        <f>IFERROR(AVERAGEIFS(tbl_survey_clean[Rating_Produk],tbl_survey_clean[Kota],$A44,tbl_survey_clean[Bulan_Survei],E$12),0)</f>
        <v>0</v>
      </c>
      <c r="F44">
        <f>IFERROR(AVERAGEIFS(tbl_survey_clean[Rating_Produk],tbl_survey_clean[Kota],$A44,tbl_survey_clean[Bulan_Survei],F$12),0)</f>
        <v>4</v>
      </c>
      <c r="G44">
        <f>IFERROR(AVERAGEIFS(tbl_survey_clean[Rating_Produk],tbl_survey_clean[Kota],$A44,tbl_survey_clean[Bulan_Survei],G$12),0)</f>
        <v>2.5</v>
      </c>
    </row>
    <row r="45" spans="1:7" x14ac:dyDescent="0.3">
      <c r="A45" t="str">
        <v>Surabaya</v>
      </c>
      <c r="B45">
        <f>IFERROR(AVERAGEIFS(tbl_survey_clean[Rating_Produk],tbl_survey_clean[Kota],$A45,tbl_survey_clean[Bulan_Survei],B$12),0)</f>
        <v>3.5</v>
      </c>
      <c r="C45">
        <f>IFERROR(AVERAGEIFS(tbl_survey_clean[Rating_Produk],tbl_survey_clean[Kota],$A45,tbl_survey_clean[Bulan_Survei],C$12),0)</f>
        <v>5</v>
      </c>
      <c r="D45">
        <f>IFERROR(AVERAGEIFS(tbl_survey_clean[Rating_Harga],tbl_survey_clean[Gender],$A45,tbl_survey_clean[Nama],D$12),0)</f>
        <v>0</v>
      </c>
      <c r="E45">
        <f>IFERROR(AVERAGEIFS(tbl_survey_clean[Rating_Produk],tbl_survey_clean[Kota],$A45,tbl_survey_clean[Bulan_Survei],E$12),0)</f>
        <v>2</v>
      </c>
      <c r="F45">
        <f>IFERROR(AVERAGEIFS(tbl_survey_clean[Rating_Produk],tbl_survey_clean[Kota],$A45,tbl_survey_clean[Bulan_Survei],F$12),0)</f>
        <v>4</v>
      </c>
      <c r="G45">
        <f>IFERROR(AVERAGEIFS(tbl_survey_clean[Rating_Produk],tbl_survey_clean[Kota],$A45,tbl_survey_clean[Bulan_Survei],G$12),0)</f>
        <v>4</v>
      </c>
    </row>
    <row r="46" spans="1:7" x14ac:dyDescent="0.3">
      <c r="A46" t="str">
        <v>Tangerang</v>
      </c>
      <c r="B46">
        <f>IFERROR(AVERAGEIFS(tbl_survey_clean[Rating_Produk],tbl_survey_clean[Kota],$A46,tbl_survey_clean[Bulan_Survei],B$12),0)</f>
        <v>0</v>
      </c>
      <c r="C46">
        <f>IFERROR(AVERAGEIFS(tbl_survey_clean[Rating_Produk],tbl_survey_clean[Kota],$A46,tbl_survey_clean[Bulan_Survei],C$12),0)</f>
        <v>3</v>
      </c>
      <c r="D46">
        <f>IFERROR(AVERAGEIFS(tbl_survey_clean[Rating_Harga],tbl_survey_clean[Gender],$A46,tbl_survey_clean[Nama],D$12),0)</f>
        <v>0</v>
      </c>
      <c r="E46">
        <f>IFERROR(AVERAGEIFS(tbl_survey_clean[Rating_Produk],tbl_survey_clean[Kota],$A46,tbl_survey_clean[Bulan_Survei],E$12),0)</f>
        <v>3</v>
      </c>
      <c r="F46">
        <f>IFERROR(AVERAGEIFS(tbl_survey_clean[Rating_Produk],tbl_survey_clean[Kota],$A46,tbl_survey_clean[Bulan_Survei],F$12),0)</f>
        <v>0</v>
      </c>
      <c r="G46">
        <f>IFERROR(AVERAGEIFS(tbl_survey_clean[Rating_Produk],tbl_survey_clean[Kota],$A46,tbl_survey_clean[Bulan_Survei],G$12),0)</f>
        <v>5</v>
      </c>
    </row>
    <row r="47" spans="1:7" x14ac:dyDescent="0.3">
      <c r="A47" t="str">
        <v>Ubud</v>
      </c>
      <c r="B47">
        <f>IFERROR(AVERAGEIFS(tbl_survey_clean[Rating_Produk],tbl_survey_clean[Kota],$A47,tbl_survey_clean[Bulan_Survei],B$12),0)</f>
        <v>2</v>
      </c>
      <c r="C47">
        <f>IFERROR(AVERAGEIFS(tbl_survey_clean[Rating_Produk],tbl_survey_clean[Kota],$A47,tbl_survey_clean[Bulan_Survei],C$12),0)</f>
        <v>2.3333333333333335</v>
      </c>
      <c r="D47">
        <f>IFERROR(AVERAGEIFS(tbl_survey_clean[Rating_Harga],tbl_survey_clean[Gender],$A47,tbl_survey_clean[Nama],D$12),0)</f>
        <v>0</v>
      </c>
      <c r="E47">
        <f>IFERROR(AVERAGEIFS(tbl_survey_clean[Rating_Produk],tbl_survey_clean[Kota],$A47,tbl_survey_clean[Bulan_Survei],E$12),0)</f>
        <v>0</v>
      </c>
      <c r="F47">
        <f>IFERROR(AVERAGEIFS(tbl_survey_clean[Rating_Produk],tbl_survey_clean[Kota],$A47,tbl_survey_clean[Bulan_Survei],F$12),0)</f>
        <v>3</v>
      </c>
      <c r="G47">
        <f>IFERROR(AVERAGEIFS(tbl_survey_clean[Rating_Produk],tbl_survey_clean[Kota],$A47,tbl_survey_clean[Bulan_Survei],G$12),0)</f>
        <v>0</v>
      </c>
    </row>
    <row r="48" spans="1:7" x14ac:dyDescent="0.3">
      <c r="A48" t="str">
        <v>Yogyakarta</v>
      </c>
      <c r="B48">
        <f>IFERROR(AVERAGEIFS(tbl_survey_clean[Rating_Produk],tbl_survey_clean[Kota],$A48,tbl_survey_clean[Bulan_Survei],B$12),0)</f>
        <v>3</v>
      </c>
      <c r="C48">
        <f>IFERROR(AVERAGEIFS(tbl_survey_clean[Rating_Produk],tbl_survey_clean[Kota],$A48,tbl_survey_clean[Bulan_Survei],C$12),0)</f>
        <v>0</v>
      </c>
      <c r="D48">
        <f>IFERROR(AVERAGEIFS(tbl_survey_clean[Rating_Harga],tbl_survey_clean[Gender],$A48,tbl_survey_clean[Nama],D$12),0)</f>
        <v>0</v>
      </c>
      <c r="E48">
        <f>IFERROR(AVERAGEIFS(tbl_survey_clean[Rating_Produk],tbl_survey_clean[Kota],$A48,tbl_survey_clean[Bulan_Survei],E$12),0)</f>
        <v>3.6666666666666665</v>
      </c>
      <c r="F48">
        <f>IFERROR(AVERAGEIFS(tbl_survey_clean[Rating_Produk],tbl_survey_clean[Kota],$A48,tbl_survey_clean[Bulan_Survei],F$12),0)</f>
        <v>0</v>
      </c>
      <c r="G48">
        <f>IFERROR(AVERAGEIFS(tbl_survey_clean[Rating_Produk],tbl_survey_clean[Kota],$A48,tbl_survey_clean[Bulan_Survei],G$12),0)</f>
        <v>4</v>
      </c>
    </row>
  </sheetData>
  <mergeCells count="2">
    <mergeCell ref="A1:H1"/>
    <mergeCell ref="A11:G11"/>
  </mergeCells>
  <conditionalFormatting sqref="B4:B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{07457764-92E8-4E33-A02A-D3068F440B73}</x14:id>
        </ext>
      </extLst>
    </cfRule>
  </conditionalFormatting>
  <conditionalFormatting sqref="C4:F9">
    <cfRule type="expression" dxfId="1" priority="2">
      <formula>C4&lt;Target_Rating</formula>
    </cfRule>
  </conditionalFormatting>
  <conditionalFormatting sqref="I4:I9">
    <cfRule type="expression" dxfId="0" priority="3">
      <formula>I4&lt;Target_NPS</formula>
    </cfRule>
    <cfRule type="expression" priority="4">
      <formula>I4&lt;Target_NPS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457764-92E8-4E33-A02A-D3068F440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46506B3-DA91-40EA-9CF0-402C837B1F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'Monthly Trend'!B13:G13</xm:f>
              <xm:sqref>H13</xm:sqref>
            </x14:sparkline>
            <x14:sparkline>
              <xm:f>'Monthly Trend'!B14:G14</xm:f>
              <xm:sqref>H14</xm:sqref>
            </x14:sparkline>
            <x14:sparkline>
              <xm:f>'Monthly Trend'!B15:G15</xm:f>
              <xm:sqref>H15</xm:sqref>
            </x14:sparkline>
            <x14:sparkline>
              <xm:f>'Monthly Trend'!B16:G16</xm:f>
              <xm:sqref>H16</xm:sqref>
            </x14:sparkline>
            <x14:sparkline>
              <xm:f>'Monthly Trend'!B17:G17</xm:f>
              <xm:sqref>H17</xm:sqref>
            </x14:sparkline>
            <x14:sparkline>
              <xm:f>'Monthly Trend'!B18:G18</xm:f>
              <xm:sqref>H18</xm:sqref>
            </x14:sparkline>
            <x14:sparkline>
              <xm:f>'Monthly Trend'!B19:G19</xm:f>
              <xm:sqref>H19</xm:sqref>
            </x14:sparkline>
            <x14:sparkline>
              <xm:f>'Monthly Trend'!B20:G20</xm:f>
              <xm:sqref>H20</xm:sqref>
            </x14:sparkline>
            <x14:sparkline>
              <xm:f>'Monthly Trend'!B21:G21</xm:f>
              <xm:sqref>H21</xm:sqref>
            </x14:sparkline>
            <x14:sparkline>
              <xm:f>'Monthly Trend'!B22:G22</xm:f>
              <xm:sqref>H22</xm:sqref>
            </x14:sparkline>
            <x14:sparkline>
              <xm:f>'Monthly Trend'!B23:G23</xm:f>
              <xm:sqref>H23</xm:sqref>
            </x14:sparkline>
            <x14:sparkline>
              <xm:f>'Monthly Trend'!B24:G24</xm:f>
              <xm:sqref>H24</xm:sqref>
            </x14:sparkline>
            <x14:sparkline>
              <xm:f>'Monthly Trend'!B25:G25</xm:f>
              <xm:sqref>H25</xm:sqref>
            </x14:sparkline>
            <x14:sparkline>
              <xm:f>'Monthly Trend'!B26:G26</xm:f>
              <xm:sqref>H26</xm:sqref>
            </x14:sparkline>
            <x14:sparkline>
              <xm:f>'Monthly Trend'!B27:G27</xm:f>
              <xm:sqref>H27</xm:sqref>
            </x14:sparkline>
            <x14:sparkline>
              <xm:f>'Monthly Trend'!B28:G28</xm:f>
              <xm:sqref>H28</xm:sqref>
            </x14:sparkline>
            <x14:sparkline>
              <xm:f>'Monthly Trend'!B29:G29</xm:f>
              <xm:sqref>H29</xm:sqref>
            </x14:sparkline>
            <x14:sparkline>
              <xm:f>'Monthly Trend'!B30:G30</xm:f>
              <xm:sqref>H30</xm:sqref>
            </x14:sparkline>
            <x14:sparkline>
              <xm:f>'Monthly Trend'!B31:G31</xm:f>
              <xm:sqref>H31</xm:sqref>
            </x14:sparkline>
            <x14:sparkline>
              <xm:f>'Monthly Trend'!B32:G32</xm:f>
              <xm:sqref>H32</xm:sqref>
            </x14:sparkline>
            <x14:sparkline>
              <xm:f>'Monthly Trend'!B33:G33</xm:f>
              <xm:sqref>H33</xm:sqref>
            </x14:sparkline>
            <x14:sparkline>
              <xm:f>'Monthly Trend'!B34:G34</xm:f>
              <xm:sqref>H34</xm:sqref>
            </x14:sparkline>
            <x14:sparkline>
              <xm:f>'Monthly Trend'!B35:G35</xm:f>
              <xm:sqref>H35</xm:sqref>
            </x14:sparkline>
            <x14:sparkline>
              <xm:f>'Monthly Trend'!B36:G36</xm:f>
              <xm:sqref>H36</xm:sqref>
            </x14:sparkline>
            <x14:sparkline>
              <xm:f>'Monthly Trend'!B37:G37</xm:f>
              <xm:sqref>H37</xm:sqref>
            </x14:sparkline>
            <x14:sparkline>
              <xm:f>'Monthly Trend'!B38:G38</xm:f>
              <xm:sqref>H38</xm:sqref>
            </x14:sparkline>
            <x14:sparkline>
              <xm:f>'Monthly Trend'!B39:G39</xm:f>
              <xm:sqref>H39</xm:sqref>
            </x14:sparkline>
            <x14:sparkline>
              <xm:f>'Monthly Trend'!B40:G40</xm:f>
              <xm:sqref>H40</xm:sqref>
            </x14:sparkline>
            <x14:sparkline>
              <xm:f>'Monthly Trend'!B41:G41</xm:f>
              <xm:sqref>H41</xm:sqref>
            </x14:sparkline>
            <x14:sparkline>
              <xm:f>'Monthly Trend'!B42:G42</xm:f>
              <xm:sqref>H42</xm:sqref>
            </x14:sparkline>
            <x14:sparkline>
              <xm:f>'Monthly Trend'!B43:G43</xm:f>
              <xm:sqref>H43</xm:sqref>
            </x14:sparkline>
            <x14:sparkline>
              <xm:f>'Monthly Trend'!B44:G44</xm:f>
              <xm:sqref>H44</xm:sqref>
            </x14:sparkline>
            <x14:sparkline>
              <xm:f>'Monthly Trend'!B45:G45</xm:f>
              <xm:sqref>H45</xm:sqref>
            </x14:sparkline>
            <x14:sparkline>
              <xm:f>'Monthly Trend'!B46:G46</xm:f>
              <xm:sqref>H46</xm:sqref>
            </x14:sparkline>
            <x14:sparkline>
              <xm:f>'Monthly Trend'!B47:G47</xm:f>
              <xm:sqref>H47</xm:sqref>
            </x14:sparkline>
            <x14:sparkline>
              <xm:f>'Monthly Trend'!B48:G48</xm:f>
              <xm:sqref>H48</xm:sqref>
            </x14:sparkline>
          </x14:sparklines>
        </x14:sparklineGroup>
        <x14:sparklineGroup displayEmptyCellsAs="gap" xr2:uid="{8E9D3C17-4D4B-4351-AD4E-2386C9D646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'Monthly Trend'!A4:A9</xm:f>
              <xm:sqref>J4</xm:sqref>
            </x14:sparkline>
            <x14:sparkline>
              <xm:f>'Monthly Trend'!A5:A10</xm:f>
              <xm:sqref>J5</xm:sqref>
            </x14:sparkline>
            <x14:sparkline>
              <xm:f>'Monthly Trend'!A6:A11</xm:f>
              <xm:sqref>J6</xm:sqref>
            </x14:sparkline>
            <x14:sparkline>
              <xm:f>'Monthly Trend'!A7:A12</xm:f>
              <xm:sqref>J7</xm:sqref>
            </x14:sparkline>
            <x14:sparkline>
              <xm:f>'Monthly Trend'!A8:A13</xm:f>
              <xm:sqref>J8</xm:sqref>
            </x14:sparkline>
            <x14:sparkline>
              <xm:f>'Monthly Trend'!A9:A14</xm:f>
              <xm:sqref>J9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4077-CACF-420E-8F37-9BB053C0321A}">
  <sheetPr>
    <tabColor rgb="FFFFFF00"/>
    <pageSetUpPr fitToPage="1"/>
  </sheetPr>
  <dimension ref="A1:R28"/>
  <sheetViews>
    <sheetView view="pageLayout" zoomScale="74" zoomScaleNormal="101" zoomScalePageLayoutView="74" workbookViewId="0">
      <selection activeCell="M3" sqref="M3"/>
    </sheetView>
  </sheetViews>
  <sheetFormatPr defaultRowHeight="14.4" x14ac:dyDescent="0.3"/>
  <cols>
    <col min="1" max="1" width="10.77734375" customWidth="1"/>
    <col min="2" max="2" width="8.88671875" customWidth="1"/>
    <col min="8" max="8" width="12.88671875" customWidth="1"/>
    <col min="12" max="12" width="10.88671875" customWidth="1"/>
  </cols>
  <sheetData>
    <row r="1" spans="1:12" ht="21" x14ac:dyDescent="0.4">
      <c r="A1" s="18" t="s">
        <v>403</v>
      </c>
      <c r="B1" s="19"/>
      <c r="C1" s="19"/>
      <c r="D1" s="19"/>
      <c r="E1" s="19"/>
      <c r="F1" s="19"/>
      <c r="G1" s="19"/>
      <c r="H1" s="19"/>
    </row>
    <row r="2" spans="1:12" x14ac:dyDescent="0.3">
      <c r="A2" t="s">
        <v>404</v>
      </c>
    </row>
    <row r="4" spans="1:12" x14ac:dyDescent="0.3">
      <c r="A4" s="17" t="s">
        <v>356</v>
      </c>
      <c r="B4" s="17"/>
      <c r="C4" s="17" t="s">
        <v>357</v>
      </c>
      <c r="D4" s="17"/>
      <c r="E4" s="17" t="s">
        <v>358</v>
      </c>
      <c r="F4" s="17"/>
      <c r="G4" s="17" t="s">
        <v>370</v>
      </c>
      <c r="H4" s="17"/>
      <c r="I4" s="17" t="s">
        <v>371</v>
      </c>
      <c r="J4" s="17"/>
      <c r="K4" s="17" t="s">
        <v>372</v>
      </c>
      <c r="L4" s="17"/>
    </row>
    <row r="5" spans="1:12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x14ac:dyDescent="0.3">
      <c r="A6" s="16">
        <f>COUNTA(tbl_survey_clean[Respondent_ID])</f>
        <v>200</v>
      </c>
      <c r="B6" s="16"/>
      <c r="C6" s="16">
        <f>ROUND(((COUNTIF(tbl_survey_clean[Kategori_NPS],"Promoter")-COUNTIF(tbl_survey_clean[Kategori_NPS],"Detractor"))/COUNTA(tbl_survey_clean[Respondent_ID]))*100,0)</f>
        <v>-50</v>
      </c>
      <c r="D6" s="16"/>
      <c r="E6" s="16">
        <f>AVERAGE(tbl_survey_clean[Rating_Produk])</f>
        <v>3.1549999999999998</v>
      </c>
      <c r="F6" s="16"/>
      <c r="G6" s="16">
        <f>AVERAGE(tbl_survey_clean[Rating_Pelayanan])</f>
        <v>2.94</v>
      </c>
      <c r="H6" s="16"/>
      <c r="I6" s="16">
        <f>AVERAGE(tbl_survey_clean[Rating_Harga])</f>
        <v>3</v>
      </c>
      <c r="J6" s="16"/>
      <c r="K6" s="16">
        <f>AVERAGE(tbl_survey_clean[Rating_Pengiriman])</f>
        <v>3.0750000000000002</v>
      </c>
      <c r="L6" s="16"/>
    </row>
    <row r="7" spans="1:12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9" spans="1:12" x14ac:dyDescent="0.3">
      <c r="A9" s="11"/>
      <c r="B9" s="11"/>
      <c r="C9" s="11"/>
      <c r="D9" s="11"/>
    </row>
    <row r="24" spans="1:18" x14ac:dyDescent="0.3">
      <c r="A24" s="11" t="s">
        <v>405</v>
      </c>
      <c r="B24" s="11"/>
      <c r="C24" s="11"/>
      <c r="D24" s="11"/>
      <c r="E24" s="11"/>
      <c r="F24" s="11"/>
      <c r="G24" s="11"/>
      <c r="H24" s="12"/>
      <c r="I24" s="11" t="s">
        <v>406</v>
      </c>
      <c r="J24" s="11"/>
      <c r="K24" s="11"/>
      <c r="L24" s="11"/>
      <c r="M24" s="11"/>
      <c r="N24" s="11"/>
      <c r="O24" s="11"/>
      <c r="P24" s="11"/>
      <c r="Q24" s="11"/>
      <c r="R24" s="12"/>
    </row>
    <row r="25" spans="1:18" x14ac:dyDescent="0.3">
      <c r="A25" s="10">
        <v>1</v>
      </c>
      <c r="B25" t="str">
        <f>IF(B5&gt;=Target_NPS,"NPS sudah mencapai target dan menunjukkan loyalitas pelanggan yang baik.","NPS masih berada di bawah target sehingga perlu evaluasi pengalaman pelanggan.")</f>
        <v>NPS masih berada di bawah target sehingga perlu evaluasi pengalaman pelanggan.</v>
      </c>
      <c r="I25" s="10">
        <v>1</v>
      </c>
      <c r="J25" t="s">
        <v>407</v>
      </c>
    </row>
    <row r="26" spans="1:18" x14ac:dyDescent="0.3">
      <c r="A26" s="10">
        <v>2</v>
      </c>
      <c r="B26" t="str">
        <f>IF(A6&gt;=Target_Rating,"Rating produk sudah berada pada level baik.","Rating produk masih perlu ditingkatkan berdasarkan persepsi pelanggan.")</f>
        <v>Rating produk sudah berada pada level baik.</v>
      </c>
      <c r="I26" s="10">
        <v>2</v>
      </c>
      <c r="J26" t="s">
        <v>408</v>
      </c>
    </row>
    <row r="27" spans="1:18" x14ac:dyDescent="0.3">
      <c r="A27" s="10">
        <v>3</v>
      </c>
      <c r="B27" t="str">
        <f>IF('Monthly Trend'!I9&gt;'Monthly Trend'!I4,"NPS menunjukkan tren peningkatan dibandingkan awal periode survei.","NPS belum menunjukkan peningkatan dibandingkan awal periode survei.")</f>
        <v>NPS belum menunjukkan peningkatan dibandingkan awal periode survei.</v>
      </c>
      <c r="I27" s="10">
        <v>3</v>
      </c>
      <c r="J27" t="s">
        <v>409</v>
      </c>
    </row>
    <row r="28" spans="1:18" x14ac:dyDescent="0.3">
      <c r="A28" s="10">
        <v>4</v>
      </c>
      <c r="B28" t="str">
        <f>IF(COUNTA(tbl_survey_clean[Respondent_ID])&gt;=Target_Response,"Jumlah responden sudah memenuhi target survei.","Jumlah responden belum memenuhi target survei.")</f>
        <v>Jumlah responden sudah memenuhi target survei.</v>
      </c>
      <c r="I28" s="10">
        <v>4</v>
      </c>
      <c r="J28" t="s">
        <v>410</v>
      </c>
    </row>
  </sheetData>
  <mergeCells count="13">
    <mergeCell ref="A1:H1"/>
    <mergeCell ref="A4:B5"/>
    <mergeCell ref="A6:B7"/>
    <mergeCell ref="C4:D5"/>
    <mergeCell ref="C6:D7"/>
    <mergeCell ref="E4:F5"/>
    <mergeCell ref="E6:F7"/>
    <mergeCell ref="G4:H5"/>
    <mergeCell ref="G6:H7"/>
    <mergeCell ref="I4:J5"/>
    <mergeCell ref="I6:J7"/>
    <mergeCell ref="K4:L5"/>
    <mergeCell ref="K6:L7"/>
  </mergeCells>
  <pageMargins left="0.25" right="0.25" top="0.75" bottom="0.75" header="0.3" footer="0.3"/>
  <pageSetup paperSize="9" scale="70" orientation="landscape" r:id="rId1"/>
  <headerFooter>
    <oddHeader>&amp;LAnalisis Survei Kepuasan Pelanggan</oddHeader>
    <oddFooter>&amp;LPage &amp;P of &amp;N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23943F8-8640-4E4A-AC5D-D594CB3F6A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'Monthly Trend'!I9:I14</xm:f>
              <xm:sqref>F9</xm:sqref>
            </x14:sparkline>
            <x14:sparkline>
              <xm:f>'Monthly Trend'!I10:I15</xm:f>
              <xm:sqref>F10</xm:sqref>
            </x14:sparkline>
            <x14:sparkline>
              <xm:f>'Monthly Trend'!I11:I16</xm:f>
              <xm:sqref>F11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7CA9-0C46-4D4C-9538-15595F7ADB71}">
  <dimension ref="A1:B6"/>
  <sheetViews>
    <sheetView workbookViewId="0">
      <selection sqref="A1:B6"/>
    </sheetView>
  </sheetViews>
  <sheetFormatPr defaultRowHeight="14.4" x14ac:dyDescent="0.3"/>
  <cols>
    <col min="1" max="1" width="16.44140625" customWidth="1"/>
    <col min="2" max="2" width="12.21875" customWidth="1"/>
  </cols>
  <sheetData>
    <row r="1" spans="1:2" x14ac:dyDescent="0.3">
      <c r="A1" t="s">
        <v>374</v>
      </c>
      <c r="B1" t="s">
        <v>375</v>
      </c>
    </row>
    <row r="2" spans="1:2" x14ac:dyDescent="0.3">
      <c r="A2" t="s">
        <v>376</v>
      </c>
      <c r="B2">
        <v>9</v>
      </c>
    </row>
    <row r="3" spans="1:2" x14ac:dyDescent="0.3">
      <c r="A3" t="s">
        <v>377</v>
      </c>
      <c r="B3">
        <v>7</v>
      </c>
    </row>
    <row r="4" spans="1:2" x14ac:dyDescent="0.3">
      <c r="A4" t="s">
        <v>378</v>
      </c>
      <c r="B4">
        <v>40</v>
      </c>
    </row>
    <row r="5" spans="1:2" x14ac:dyDescent="0.3">
      <c r="A5" t="s">
        <v>379</v>
      </c>
      <c r="B5">
        <v>4</v>
      </c>
    </row>
    <row r="6" spans="1:2" x14ac:dyDescent="0.3">
      <c r="A6" t="s">
        <v>380</v>
      </c>
      <c r="B6">
        <v>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CF91-4480-436B-BEAF-4B22F7347CB3}">
  <dimension ref="A1:B14"/>
  <sheetViews>
    <sheetView workbookViewId="0">
      <selection activeCell="B9" sqref="B9"/>
    </sheetView>
  </sheetViews>
  <sheetFormatPr defaultRowHeight="14.4" x14ac:dyDescent="0.3"/>
  <cols>
    <col min="1" max="1" width="16.21875" customWidth="1"/>
    <col min="2" max="2" width="12.44140625" customWidth="1"/>
  </cols>
  <sheetData>
    <row r="1" spans="1:2" x14ac:dyDescent="0.3">
      <c r="A1" s="7" t="s">
        <v>355</v>
      </c>
      <c r="B1" s="9" t="s">
        <v>375</v>
      </c>
    </row>
    <row r="2" spans="1:2" ht="43.2" x14ac:dyDescent="0.3">
      <c r="A2" s="2" t="s">
        <v>356</v>
      </c>
      <c r="B2" s="8">
        <f>COUNTA(tbl_survey_clean[Respondent_ID])</f>
        <v>200</v>
      </c>
    </row>
    <row r="3" spans="1:2" ht="28.8" x14ac:dyDescent="0.3">
      <c r="A3" s="2" t="s">
        <v>385</v>
      </c>
      <c r="B3" s="8">
        <f>COUNTIF(tbl_survey_clean[Kategori_NPS], "Promoter")</f>
        <v>32</v>
      </c>
    </row>
    <row r="4" spans="1:2" ht="28.8" x14ac:dyDescent="0.3">
      <c r="A4" s="2" t="s">
        <v>386</v>
      </c>
      <c r="B4" s="8">
        <f>COUNTIF(tbl_survey_clean[Kategori_NPS],"Passive")</f>
        <v>37</v>
      </c>
    </row>
    <row r="5" spans="1:2" ht="28.8" x14ac:dyDescent="0.3">
      <c r="A5" s="2" t="s">
        <v>387</v>
      </c>
      <c r="B5" s="8">
        <f>COUNTIF(tbl_survey_clean[Kategori_NPS],"Detractor")</f>
        <v>131</v>
      </c>
    </row>
    <row r="6" spans="1:2" ht="28.8" x14ac:dyDescent="0.3">
      <c r="A6" s="2" t="s">
        <v>359</v>
      </c>
      <c r="B6" s="8">
        <f>COUNTIF(tbl_survey_clean[Kategori_NPS],"Promoter")/COUNTA(tbl_survey_clean[Respondent_ID])</f>
        <v>0.16</v>
      </c>
    </row>
    <row r="7" spans="1:2" x14ac:dyDescent="0.3">
      <c r="A7" s="2" t="s">
        <v>388</v>
      </c>
      <c r="B7" s="8">
        <f>COUNTIF(tbl_survey_clean[Kategori_NPS],"Passive")/COUNTA(tbl_survey_clean[Respondent_ID])</f>
        <v>0.185</v>
      </c>
    </row>
    <row r="8" spans="1:2" ht="28.8" x14ac:dyDescent="0.3">
      <c r="A8" s="2" t="s">
        <v>389</v>
      </c>
      <c r="B8" s="8">
        <f>COUNTIF(tbl_survey_clean[Kategori_NPS],"Detractor")/COUNTA(tbl_survey_clean[Respondent_ID])</f>
        <v>0.65500000000000003</v>
      </c>
    </row>
    <row r="9" spans="1:2" ht="28.8" x14ac:dyDescent="0.3">
      <c r="A9" s="2" t="s">
        <v>357</v>
      </c>
      <c r="B9" s="8">
        <f>ROUND(((COUNTIF(tbl_survey_clean[Kategori_NPS],"Promoter")-COUNTIF(tbl_survey_clean[Kategori_NPS],"Detractor"))/COUNTA(tbl_survey_clean[Respondent_ID]))*100,0)</f>
        <v>-50</v>
      </c>
    </row>
    <row r="10" spans="1:2" ht="43.2" x14ac:dyDescent="0.3">
      <c r="A10" s="2" t="s">
        <v>358</v>
      </c>
      <c r="B10" s="8">
        <f>AVERAGE(tbl_survey_clean[Rating_Produk])</f>
        <v>3.1549999999999998</v>
      </c>
    </row>
    <row r="11" spans="1:2" ht="57.6" x14ac:dyDescent="0.3">
      <c r="A11" s="2" t="s">
        <v>370</v>
      </c>
      <c r="B11" s="8">
        <f>AVERAGE(tbl_survey_clean[Rating_Pelayanan])</f>
        <v>2.94</v>
      </c>
    </row>
    <row r="12" spans="1:2" ht="43.2" x14ac:dyDescent="0.3">
      <c r="A12" s="2" t="s">
        <v>371</v>
      </c>
      <c r="B12" s="8">
        <f>AVERAGE(tbl_survey_clean[Rating_Harga])</f>
        <v>3</v>
      </c>
    </row>
    <row r="13" spans="1:2" ht="57.6" x14ac:dyDescent="0.3">
      <c r="A13" s="2" t="s">
        <v>372</v>
      </c>
      <c r="B13" s="8">
        <f>AVERAGE(tbl_survey_clean[Rating_Pengiriman])</f>
        <v>3.0750000000000002</v>
      </c>
    </row>
    <row r="14" spans="1:2" x14ac:dyDescent="0.3">
      <c r="A14" s="2" t="s">
        <v>390</v>
      </c>
      <c r="B14" s="8">
        <f>AVERAGE(tbl_survey_clean[Total_Belanja_Setahun])</f>
        <v>1162750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1269-EB57-4D7A-9ACF-F0B72C421225}">
  <dimension ref="A1:K37"/>
  <sheetViews>
    <sheetView workbookViewId="0">
      <selection activeCell="F4" sqref="F4"/>
    </sheetView>
  </sheetViews>
  <sheetFormatPr defaultRowHeight="14.4" x14ac:dyDescent="0.3"/>
  <cols>
    <col min="1" max="1" width="8.88671875" customWidth="1"/>
    <col min="2" max="2" width="11" customWidth="1"/>
    <col min="4" max="4" width="9.6640625" customWidth="1"/>
    <col min="6" max="6" width="10.44140625" customWidth="1"/>
  </cols>
  <sheetData>
    <row r="1" spans="1:11" ht="43.2" x14ac:dyDescent="0.3">
      <c r="A1" s="7" t="s">
        <v>4</v>
      </c>
      <c r="B1" s="9" t="s">
        <v>356</v>
      </c>
      <c r="C1" s="9" t="s">
        <v>391</v>
      </c>
      <c r="D1" s="9" t="s">
        <v>392</v>
      </c>
      <c r="E1" s="9" t="s">
        <v>393</v>
      </c>
      <c r="F1" s="9" t="s">
        <v>394</v>
      </c>
      <c r="G1" s="9" t="s">
        <v>395</v>
      </c>
      <c r="H1" s="9" t="s">
        <v>42</v>
      </c>
      <c r="I1" s="9" t="s">
        <v>33</v>
      </c>
      <c r="J1" s="9" t="s">
        <v>396</v>
      </c>
      <c r="K1" s="7" t="s">
        <v>397</v>
      </c>
    </row>
    <row r="2" spans="1:11" x14ac:dyDescent="0.3">
      <c r="A2" t="str" cm="1">
        <f t="array" ref="A2:A37">_xlfn._xlws.SORT(_xlfn.UNIQUE(tbl_survey_clean[Kota]))</f>
        <v>Balikpapan</v>
      </c>
      <c r="B2">
        <f>COUNTIF(tbl_survey_clean[Kota],A2)</f>
        <v>5</v>
      </c>
      <c r="C2">
        <f>AVERAGEIF(tbl_survey_clean[Kota],A2,tbl_survey_clean[Rating_Produk])</f>
        <v>4.5999999999999996</v>
      </c>
      <c r="D2">
        <f>AVERAGEIF(tbl_survey_clean[Kota],A2,tbl_survey_clean[Rating_Pelayanan])</f>
        <v>2.8</v>
      </c>
      <c r="E2">
        <f>AVERAGEIF(tbl_survey_clean[Kota],A2,tbl_survey_clean[Rating_Harga])</f>
        <v>3</v>
      </c>
      <c r="F2">
        <f>AVERAGEIF(tbl_survey_clean[Kota],A2,tbl_survey_clean[Rating_Pengiriman])</f>
        <v>3.8</v>
      </c>
      <c r="G2">
        <f>SUMIF(tbl_survey_clean[Kota],A2,tbl_survey_clean[Total_Belanja_Setahun])</f>
        <v>7350000</v>
      </c>
      <c r="H2">
        <f>COUNTIFS(tbl_survey_clean[Kota],A2,tbl_survey_clean[Kategori_NPS],"Promoter")</f>
        <v>1</v>
      </c>
      <c r="I2">
        <f>COUNTIFS(tbl_survey_clean[Kota],A2,tbl_survey_clean[Kategori_NPS],"Detractor")</f>
        <v>2</v>
      </c>
      <c r="J2">
        <f>IFERROR(((H2-I2)/B2)*100,0)</f>
        <v>-20</v>
      </c>
    </row>
    <row r="3" spans="1:11" x14ac:dyDescent="0.3">
      <c r="A3" t="str">
        <v>Bandar Lampung</v>
      </c>
      <c r="B3">
        <f>COUNTIF(tbl_survey_clean[Kota],A3)</f>
        <v>9</v>
      </c>
      <c r="C3">
        <f>AVERAGEIF(tbl_survey_clean[Kota],A3,tbl_survey_clean[Rating_Produk])</f>
        <v>3.4444444444444446</v>
      </c>
      <c r="D3">
        <f>AVERAGEIF(tbl_survey_clean[Kota],A3,tbl_survey_clean[Rating_Pelayanan])</f>
        <v>2.6666666666666665</v>
      </c>
      <c r="E3">
        <f>AVERAGEIF(tbl_survey_clean[Kota],A3,tbl_survey_clean[Rating_Harga])</f>
        <v>2.5555555555555554</v>
      </c>
      <c r="F3">
        <f>AVERAGEIF(tbl_survey_clean[Kota],A3,tbl_survey_clean[Rating_Pengiriman])</f>
        <v>3.3333333333333335</v>
      </c>
      <c r="G3">
        <f>SUMIF(tbl_survey_clean[Kota],A3,tbl_survey_clean[Total_Belanja_Setahun])</f>
        <v>12000000</v>
      </c>
      <c r="H3">
        <f>COUNTIFS(tbl_survey_clean[Kota],A3,tbl_survey_clean[Kategori_NPS],"Promoter")</f>
        <v>0</v>
      </c>
      <c r="I3">
        <f>COUNTIFS(tbl_survey_clean[Kota],A3,tbl_survey_clean[Kategori_NPS],"Detractor")</f>
        <v>9</v>
      </c>
      <c r="J3">
        <f t="shared" ref="J3:J29" si="0">IFERROR(((H3-I3)/B3)*100,0)</f>
        <v>-100</v>
      </c>
    </row>
    <row r="4" spans="1:11" x14ac:dyDescent="0.3">
      <c r="A4" t="str">
        <v>Bandung</v>
      </c>
      <c r="B4">
        <f>COUNTIF(tbl_survey_clean[Kota],A4)</f>
        <v>3</v>
      </c>
      <c r="C4">
        <f>AVERAGEIF(tbl_survey_clean[Kota],A4,tbl_survey_clean[Rating_Produk])</f>
        <v>1.3333333333333333</v>
      </c>
      <c r="D4">
        <f>AVERAGEIF(tbl_survey_clean[Kota],A4,tbl_survey_clean[Rating_Pelayanan])</f>
        <v>2</v>
      </c>
      <c r="E4">
        <f>AVERAGEIF(tbl_survey_clean[Kota],A4,tbl_survey_clean[Rating_Harga])</f>
        <v>2.6666666666666665</v>
      </c>
      <c r="F4">
        <f>AVERAGEIF(tbl_survey_clean[Kota],A4,tbl_survey_clean[Rating_Pengiriman])</f>
        <v>1.6666666666666667</v>
      </c>
      <c r="G4">
        <f>SUMIF(tbl_survey_clean[Kota],A4,tbl_survey_clean[Total_Belanja_Setahun])</f>
        <v>1150000</v>
      </c>
      <c r="H4">
        <f>COUNTIFS(tbl_survey_clean[Kota],A4,tbl_survey_clean[Kategori_NPS],"Promoter")</f>
        <v>0</v>
      </c>
      <c r="I4">
        <f>COUNTIFS(tbl_survey_clean[Kota],A4,tbl_survey_clean[Kategori_NPS],"Detractor")</f>
        <v>3</v>
      </c>
      <c r="J4">
        <f t="shared" si="0"/>
        <v>-100</v>
      </c>
    </row>
    <row r="5" spans="1:11" x14ac:dyDescent="0.3">
      <c r="A5" t="str">
        <v>Bantul</v>
      </c>
      <c r="B5">
        <f>COUNTIF(tbl_survey_clean[Kota],A5)</f>
        <v>4</v>
      </c>
      <c r="C5">
        <f>AVERAGEIF(tbl_survey_clean[Kota],A5,tbl_survey_clean[Rating_Produk])</f>
        <v>3</v>
      </c>
      <c r="D5">
        <f>AVERAGEIF(tbl_survey_clean[Kota],A5,tbl_survey_clean[Rating_Pelayanan])</f>
        <v>2.5</v>
      </c>
      <c r="E5">
        <f>AVERAGEIF(tbl_survey_clean[Kota],A5,tbl_survey_clean[Rating_Harga])</f>
        <v>1.25</v>
      </c>
      <c r="F5">
        <f>AVERAGEIF(tbl_survey_clean[Kota],A5,tbl_survey_clean[Rating_Pengiriman])</f>
        <v>2</v>
      </c>
      <c r="G5">
        <f>SUMIF(tbl_survey_clean[Kota],A5,tbl_survey_clean[Total_Belanja_Setahun])</f>
        <v>12500000</v>
      </c>
      <c r="H5">
        <f>COUNTIFS(tbl_survey_clean[Kota],A5,tbl_survey_clean[Kategori_NPS],"Promoter")</f>
        <v>1</v>
      </c>
      <c r="I5">
        <f>COUNTIFS(tbl_survey_clean[Kota],A5,tbl_survey_clean[Kategori_NPS],"Detractor")</f>
        <v>3</v>
      </c>
      <c r="J5">
        <f t="shared" si="0"/>
        <v>-50</v>
      </c>
    </row>
    <row r="6" spans="1:11" x14ac:dyDescent="0.3">
      <c r="A6" t="str">
        <v>Bekasi</v>
      </c>
      <c r="B6">
        <f>COUNTIF(tbl_survey_clean[Kota],A6)</f>
        <v>2</v>
      </c>
      <c r="C6">
        <f>AVERAGEIF(tbl_survey_clean[Kota],A6,tbl_survey_clean[Rating_Produk])</f>
        <v>4.5</v>
      </c>
      <c r="D6">
        <f>AVERAGEIF(tbl_survey_clean[Kota],A6,tbl_survey_clean[Rating_Pelayanan])</f>
        <v>4</v>
      </c>
      <c r="E6">
        <f>AVERAGEIF(tbl_survey_clean[Kota],A6,tbl_survey_clean[Rating_Harga])</f>
        <v>3.5</v>
      </c>
      <c r="F6">
        <f>AVERAGEIF(tbl_survey_clean[Kota],A6,tbl_survey_clean[Rating_Pengiriman])</f>
        <v>3.5</v>
      </c>
      <c r="G6">
        <f>SUMIF(tbl_survey_clean[Kota],A6,tbl_survey_clean[Total_Belanja_Setahun])</f>
        <v>300000</v>
      </c>
      <c r="H6">
        <f>COUNTIFS(tbl_survey_clean[Kota],A6,tbl_survey_clean[Kategori_NPS],"Promoter")</f>
        <v>0</v>
      </c>
      <c r="I6">
        <f>COUNTIFS(tbl_survey_clean[Kota],A6,tbl_survey_clean[Kategori_NPS],"Detractor")</f>
        <v>2</v>
      </c>
      <c r="J6">
        <f t="shared" si="0"/>
        <v>-100</v>
      </c>
    </row>
    <row r="7" spans="1:11" x14ac:dyDescent="0.3">
      <c r="A7" t="str">
        <v>Binjai</v>
      </c>
      <c r="B7">
        <f>COUNTIF(tbl_survey_clean[Kota],A7)</f>
        <v>3</v>
      </c>
      <c r="C7">
        <f>AVERAGEIF(tbl_survey_clean[Kota],A7,tbl_survey_clean[Rating_Produk])</f>
        <v>4.666666666666667</v>
      </c>
      <c r="D7">
        <f>AVERAGEIF(tbl_survey_clean[Kota],A7,tbl_survey_clean[Rating_Pelayanan])</f>
        <v>4.666666666666667</v>
      </c>
      <c r="E7">
        <f>AVERAGEIF(tbl_survey_clean[Kota],A7,tbl_survey_clean[Rating_Harga])</f>
        <v>3.6666666666666665</v>
      </c>
      <c r="F7">
        <f>AVERAGEIF(tbl_survey_clean[Kota],A7,tbl_survey_clean[Rating_Pengiriman])</f>
        <v>2.3333333333333335</v>
      </c>
      <c r="G7">
        <f>SUMIF(tbl_survey_clean[Kota],A7,tbl_survey_clean[Total_Belanja_Setahun])</f>
        <v>3050000</v>
      </c>
      <c r="H7">
        <f>COUNTIFS(tbl_survey_clean[Kota],A7,tbl_survey_clean[Kategori_NPS],"Promoter")</f>
        <v>0</v>
      </c>
      <c r="I7">
        <f>COUNTIFS(tbl_survey_clean[Kota],A7,tbl_survey_clean[Kategori_NPS],"Detractor")</f>
        <v>3</v>
      </c>
      <c r="J7">
        <f t="shared" si="0"/>
        <v>-100</v>
      </c>
    </row>
    <row r="8" spans="1:11" x14ac:dyDescent="0.3">
      <c r="A8" t="str">
        <v>Bogor</v>
      </c>
      <c r="B8">
        <f>COUNTIF(tbl_survey_clean[Kota],A8)</f>
        <v>1</v>
      </c>
      <c r="C8">
        <f>AVERAGEIF(tbl_survey_clean[Kota],A8,tbl_survey_clean[Rating_Produk])</f>
        <v>1</v>
      </c>
      <c r="D8">
        <f>AVERAGEIF(tbl_survey_clean[Kota],A8,tbl_survey_clean[Rating_Pelayanan])</f>
        <v>4</v>
      </c>
      <c r="E8">
        <f>AVERAGEIF(tbl_survey_clean[Kota],A8,tbl_survey_clean[Rating_Harga])</f>
        <v>3</v>
      </c>
      <c r="F8">
        <f>AVERAGEIF(tbl_survey_clean[Kota],A8,tbl_survey_clean[Rating_Pengiriman])</f>
        <v>4</v>
      </c>
      <c r="G8">
        <f>SUMIF(tbl_survey_clean[Kota],A8,tbl_survey_clean[Total_Belanja_Setahun])</f>
        <v>5000000</v>
      </c>
      <c r="H8">
        <f>COUNTIFS(tbl_survey_clean[Kota],A8,tbl_survey_clean[Kategori_NPS],"Promoter")</f>
        <v>0</v>
      </c>
      <c r="I8">
        <f>COUNTIFS(tbl_survey_clean[Kota],A8,tbl_survey_clean[Kategori_NPS],"Detractor")</f>
        <v>1</v>
      </c>
      <c r="J8">
        <f t="shared" si="0"/>
        <v>-100</v>
      </c>
    </row>
    <row r="9" spans="1:11" x14ac:dyDescent="0.3">
      <c r="A9" t="str">
        <v>Cilegon</v>
      </c>
      <c r="B9">
        <f>COUNTIF(tbl_survey_clean[Kota],A9)</f>
        <v>4</v>
      </c>
      <c r="C9">
        <f>AVERAGEIF(tbl_survey_clean[Kota],A9,tbl_survey_clean[Rating_Produk])</f>
        <v>3</v>
      </c>
      <c r="D9">
        <f>AVERAGEIF(tbl_survey_clean[Kota],A9,tbl_survey_clean[Rating_Pelayanan])</f>
        <v>3.25</v>
      </c>
      <c r="E9">
        <f>AVERAGEIF(tbl_survey_clean[Kota],A9,tbl_survey_clean[Rating_Harga])</f>
        <v>3</v>
      </c>
      <c r="F9">
        <f>AVERAGEIF(tbl_survey_clean[Kota],A9,tbl_survey_clean[Rating_Pengiriman])</f>
        <v>3.5</v>
      </c>
      <c r="G9">
        <f>SUMIF(tbl_survey_clean[Kota],A9,tbl_survey_clean[Total_Belanja_Setahun])</f>
        <v>2250000</v>
      </c>
      <c r="H9">
        <f>COUNTIFS(tbl_survey_clean[Kota],A9,tbl_survey_clean[Kategori_NPS],"Promoter")</f>
        <v>0</v>
      </c>
      <c r="I9">
        <f>COUNTIFS(tbl_survey_clean[Kota],A9,tbl_survey_clean[Kategori_NPS],"Detractor")</f>
        <v>4</v>
      </c>
      <c r="J9">
        <f t="shared" si="0"/>
        <v>-100</v>
      </c>
    </row>
    <row r="10" spans="1:11" x14ac:dyDescent="0.3">
      <c r="A10" t="str">
        <v>Denpasar</v>
      </c>
      <c r="B10">
        <f>COUNTIF(tbl_survey_clean[Kota],A10)</f>
        <v>7</v>
      </c>
      <c r="C10">
        <f>AVERAGEIF(tbl_survey_clean[Kota],A10,tbl_survey_clean[Rating_Produk])</f>
        <v>3.5714285714285716</v>
      </c>
      <c r="D10">
        <f>AVERAGEIF(tbl_survey_clean[Kota],A10,tbl_survey_clean[Rating_Pelayanan])</f>
        <v>2.8571428571428572</v>
      </c>
      <c r="E10">
        <f>AVERAGEIF(tbl_survey_clean[Kota],A10,tbl_survey_clean[Rating_Harga])</f>
        <v>2</v>
      </c>
      <c r="F10">
        <f>AVERAGEIF(tbl_survey_clean[Kota],A10,tbl_survey_clean[Rating_Pengiriman])</f>
        <v>2.5714285714285716</v>
      </c>
      <c r="G10">
        <f>SUMIF(tbl_survey_clean[Kota],A10,tbl_survey_clean[Total_Belanja_Setahun])</f>
        <v>10150000</v>
      </c>
      <c r="H10">
        <f>COUNTIFS(tbl_survey_clean[Kota],A10,tbl_survey_clean[Kategori_NPS],"Promoter")</f>
        <v>3</v>
      </c>
      <c r="I10">
        <f>COUNTIFS(tbl_survey_clean[Kota],A10,tbl_survey_clean[Kategori_NPS],"Detractor")</f>
        <v>3</v>
      </c>
      <c r="J10">
        <f t="shared" si="0"/>
        <v>0</v>
      </c>
    </row>
    <row r="11" spans="1:11" x14ac:dyDescent="0.3">
      <c r="A11" t="str">
        <v>Dumai</v>
      </c>
      <c r="B11">
        <f>COUNTIF(tbl_survey_clean[Kota],A11)</f>
        <v>10</v>
      </c>
      <c r="C11">
        <f>AVERAGEIF(tbl_survey_clean[Kota],A11,tbl_survey_clean[Rating_Produk])</f>
        <v>3.3</v>
      </c>
      <c r="D11">
        <f>AVERAGEIF(tbl_survey_clean[Kota],A11,tbl_survey_clean[Rating_Pelayanan])</f>
        <v>2.2999999999999998</v>
      </c>
      <c r="E11">
        <f>AVERAGEIF(tbl_survey_clean[Kota],A11,tbl_survey_clean[Rating_Harga])</f>
        <v>2.8</v>
      </c>
      <c r="F11">
        <f>AVERAGEIF(tbl_survey_clean[Kota],A11,tbl_survey_clean[Rating_Pengiriman])</f>
        <v>3.2</v>
      </c>
      <c r="G11">
        <f>SUMIF(tbl_survey_clean[Kota],A11,tbl_survey_clean[Total_Belanja_Setahun])</f>
        <v>12650000</v>
      </c>
      <c r="H11">
        <f>COUNTIFS(tbl_survey_clean[Kota],A11,tbl_survey_clean[Kategori_NPS],"Promoter")</f>
        <v>4</v>
      </c>
      <c r="I11">
        <f>COUNTIFS(tbl_survey_clean[Kota],A11,tbl_survey_clean[Kategori_NPS],"Detractor")</f>
        <v>4</v>
      </c>
      <c r="J11">
        <f t="shared" si="0"/>
        <v>0</v>
      </c>
    </row>
    <row r="12" spans="1:11" x14ac:dyDescent="0.3">
      <c r="A12" t="str">
        <v>Jakarta Barat</v>
      </c>
      <c r="B12">
        <f>COUNTIF(tbl_survey_clean[Kota],A12)</f>
        <v>3</v>
      </c>
      <c r="C12">
        <f>AVERAGEIF(tbl_survey_clean[Kota],A12,tbl_survey_clean[Rating_Produk])</f>
        <v>4</v>
      </c>
      <c r="D12">
        <f>AVERAGEIF(tbl_survey_clean[Kota],A12,tbl_survey_clean[Rating_Pelayanan])</f>
        <v>1.6666666666666667</v>
      </c>
      <c r="E12">
        <f>AVERAGEIF(tbl_survey_clean[Kota],A12,tbl_survey_clean[Rating_Harga])</f>
        <v>3.3333333333333335</v>
      </c>
      <c r="F12">
        <f>AVERAGEIF(tbl_survey_clean[Kota],A12,tbl_survey_clean[Rating_Pengiriman])</f>
        <v>3.3333333333333335</v>
      </c>
      <c r="G12">
        <f>SUMIF(tbl_survey_clean[Kota],A12,tbl_survey_clean[Total_Belanja_Setahun])</f>
        <v>2050000</v>
      </c>
      <c r="H12">
        <f>COUNTIFS(tbl_survey_clean[Kota],A12,tbl_survey_clean[Kategori_NPS],"Promoter")</f>
        <v>1</v>
      </c>
      <c r="I12">
        <f>COUNTIFS(tbl_survey_clean[Kota],A12,tbl_survey_clean[Kategori_NPS],"Detractor")</f>
        <v>2</v>
      </c>
      <c r="J12">
        <f t="shared" si="0"/>
        <v>-33.333333333333329</v>
      </c>
    </row>
    <row r="13" spans="1:11" x14ac:dyDescent="0.3">
      <c r="A13" t="str">
        <v>Jakarta Pusat</v>
      </c>
      <c r="B13">
        <f>COUNTIF(tbl_survey_clean[Kota],A13)</f>
        <v>5</v>
      </c>
      <c r="C13">
        <f>AVERAGEIF(tbl_survey_clean[Kota],A13,tbl_survey_clean[Rating_Produk])</f>
        <v>3.4</v>
      </c>
      <c r="D13">
        <f>AVERAGEIF(tbl_survey_clean[Kota],A13,tbl_survey_clean[Rating_Pelayanan])</f>
        <v>3.2</v>
      </c>
      <c r="E13">
        <f>AVERAGEIF(tbl_survey_clean[Kota],A13,tbl_survey_clean[Rating_Harga])</f>
        <v>2.8</v>
      </c>
      <c r="F13">
        <f>AVERAGEIF(tbl_survey_clean[Kota],A13,tbl_survey_clean[Rating_Pengiriman])</f>
        <v>3.2</v>
      </c>
      <c r="G13">
        <f>SUMIF(tbl_survey_clean[Kota],A13,tbl_survey_clean[Total_Belanja_Setahun])</f>
        <v>5300000</v>
      </c>
      <c r="H13">
        <f>COUNTIFS(tbl_survey_clean[Kota],A13,tbl_survey_clean[Kategori_NPS],"Promoter")</f>
        <v>1</v>
      </c>
      <c r="I13">
        <f>COUNTIFS(tbl_survey_clean[Kota],A13,tbl_survey_clean[Kategori_NPS],"Detractor")</f>
        <v>3</v>
      </c>
      <c r="J13">
        <f t="shared" si="0"/>
        <v>-40</v>
      </c>
    </row>
    <row r="14" spans="1:11" x14ac:dyDescent="0.3">
      <c r="A14" t="str">
        <v>Jakarta Selatan</v>
      </c>
      <c r="B14">
        <f>COUNTIF(tbl_survey_clean[Kota],A14)</f>
        <v>4</v>
      </c>
      <c r="C14">
        <f>AVERAGEIF(tbl_survey_clean[Kota],A14,tbl_survey_clean[Rating_Produk])</f>
        <v>2.5</v>
      </c>
      <c r="D14">
        <f>AVERAGEIF(tbl_survey_clean[Kota],A14,tbl_survey_clean[Rating_Pelayanan])</f>
        <v>2.5</v>
      </c>
      <c r="E14">
        <f>AVERAGEIF(tbl_survey_clean[Kota],A14,tbl_survey_clean[Rating_Harga])</f>
        <v>3.75</v>
      </c>
      <c r="F14">
        <f>AVERAGEIF(tbl_survey_clean[Kota],A14,tbl_survey_clean[Rating_Pengiriman])</f>
        <v>4</v>
      </c>
      <c r="G14">
        <f>SUMIF(tbl_survey_clean[Kota],A14,tbl_survey_clean[Total_Belanja_Setahun])</f>
        <v>3200000</v>
      </c>
      <c r="H14">
        <f>COUNTIFS(tbl_survey_clean[Kota],A14,tbl_survey_clean[Kategori_NPS],"Promoter")</f>
        <v>2</v>
      </c>
      <c r="I14">
        <f>COUNTIFS(tbl_survey_clean[Kota],A14,tbl_survey_clean[Kategori_NPS],"Detractor")</f>
        <v>2</v>
      </c>
      <c r="J14">
        <f t="shared" si="0"/>
        <v>0</v>
      </c>
    </row>
    <row r="15" spans="1:11" x14ac:dyDescent="0.3">
      <c r="A15" t="str">
        <v>Jayapura</v>
      </c>
      <c r="B15">
        <f>COUNTIF(tbl_survey_clean[Kota],A15)</f>
        <v>3</v>
      </c>
      <c r="C15">
        <f>AVERAGEIF(tbl_survey_clean[Kota],A15,tbl_survey_clean[Rating_Produk])</f>
        <v>2.6666666666666665</v>
      </c>
      <c r="D15">
        <f>AVERAGEIF(tbl_survey_clean[Kota],A15,tbl_survey_clean[Rating_Pelayanan])</f>
        <v>3</v>
      </c>
      <c r="E15">
        <f>AVERAGEIF(tbl_survey_clean[Kota],A15,tbl_survey_clean[Rating_Harga])</f>
        <v>3.3333333333333335</v>
      </c>
      <c r="F15">
        <f>AVERAGEIF(tbl_survey_clean[Kota],A15,tbl_survey_clean[Rating_Pengiriman])</f>
        <v>2.6666666666666665</v>
      </c>
      <c r="G15">
        <f>SUMIF(tbl_survey_clean[Kota],A15,tbl_survey_clean[Total_Belanja_Setahun])</f>
        <v>4050000</v>
      </c>
      <c r="H15">
        <f>COUNTIFS(tbl_survey_clean[Kota],A15,tbl_survey_clean[Kategori_NPS],"Promoter")</f>
        <v>0</v>
      </c>
      <c r="I15">
        <f>COUNTIFS(tbl_survey_clean[Kota],A15,tbl_survey_clean[Kategori_NPS],"Detractor")</f>
        <v>1</v>
      </c>
      <c r="J15">
        <f t="shared" si="0"/>
        <v>-33.333333333333329</v>
      </c>
    </row>
    <row r="16" spans="1:11" x14ac:dyDescent="0.3">
      <c r="A16" t="str">
        <v>Kuta</v>
      </c>
      <c r="B16">
        <f>COUNTIF(tbl_survey_clean[Kota],A16)</f>
        <v>9</v>
      </c>
      <c r="C16">
        <f>AVERAGEIF(tbl_survey_clean[Kota],A16,tbl_survey_clean[Rating_Produk])</f>
        <v>2.7777777777777777</v>
      </c>
      <c r="D16">
        <f>AVERAGEIF(tbl_survey_clean[Kota],A16,tbl_survey_clean[Rating_Pelayanan])</f>
        <v>3.4444444444444446</v>
      </c>
      <c r="E16">
        <f>AVERAGEIF(tbl_survey_clean[Kota],A16,tbl_survey_clean[Rating_Harga])</f>
        <v>2.8888888888888888</v>
      </c>
      <c r="F16">
        <f>AVERAGEIF(tbl_survey_clean[Kota],A16,tbl_survey_clean[Rating_Pengiriman])</f>
        <v>2.8888888888888888</v>
      </c>
      <c r="G16">
        <f>SUMIF(tbl_survey_clean[Kota],A16,tbl_survey_clean[Total_Belanja_Setahun])</f>
        <v>10300000</v>
      </c>
      <c r="H16">
        <f>COUNTIFS(tbl_survey_clean[Kota],A16,tbl_survey_clean[Kategori_NPS],"Promoter")</f>
        <v>1</v>
      </c>
      <c r="I16">
        <f>COUNTIFS(tbl_survey_clean[Kota],A16,tbl_survey_clean[Kategori_NPS],"Detractor")</f>
        <v>7</v>
      </c>
      <c r="J16">
        <f t="shared" si="0"/>
        <v>-66.666666666666657</v>
      </c>
    </row>
    <row r="17" spans="1:10" x14ac:dyDescent="0.3">
      <c r="A17" t="str">
        <v>Lubuklinggau</v>
      </c>
      <c r="B17">
        <f>COUNTIF(tbl_survey_clean[Kota],A17)</f>
        <v>10</v>
      </c>
      <c r="C17">
        <f>AVERAGEIF(tbl_survey_clean[Kota],A17,tbl_survey_clean[Rating_Produk])</f>
        <v>3</v>
      </c>
      <c r="D17">
        <f>AVERAGEIF(tbl_survey_clean[Kota],A17,tbl_survey_clean[Rating_Pelayanan])</f>
        <v>2.5</v>
      </c>
      <c r="E17">
        <f>AVERAGEIF(tbl_survey_clean[Kota],A17,tbl_survey_clean[Rating_Harga])</f>
        <v>3.4</v>
      </c>
      <c r="F17">
        <f>AVERAGEIF(tbl_survey_clean[Kota],A17,tbl_survey_clean[Rating_Pengiriman])</f>
        <v>2.8</v>
      </c>
      <c r="G17">
        <f>SUMIF(tbl_survey_clean[Kota],A17,tbl_survey_clean[Total_Belanja_Setahun])</f>
        <v>12250000</v>
      </c>
      <c r="H17">
        <f>COUNTIFS(tbl_survey_clean[Kota],A17,tbl_survey_clean[Kategori_NPS],"Promoter")</f>
        <v>1</v>
      </c>
      <c r="I17">
        <f>COUNTIFS(tbl_survey_clean[Kota],A17,tbl_survey_clean[Kategori_NPS],"Detractor")</f>
        <v>4</v>
      </c>
      <c r="J17">
        <f t="shared" si="0"/>
        <v>-30</v>
      </c>
    </row>
    <row r="18" spans="1:10" x14ac:dyDescent="0.3">
      <c r="A18" t="str">
        <v>Magelang</v>
      </c>
      <c r="B18">
        <f>COUNTIF(tbl_survey_clean[Kota],A18)</f>
        <v>2</v>
      </c>
      <c r="C18">
        <f>AVERAGEIF(tbl_survey_clean[Kota],A18,tbl_survey_clean[Rating_Produk])</f>
        <v>3</v>
      </c>
      <c r="D18">
        <f>AVERAGEIF(tbl_survey_clean[Kota],A18,tbl_survey_clean[Rating_Pelayanan])</f>
        <v>3.5</v>
      </c>
      <c r="E18">
        <f>AVERAGEIF(tbl_survey_clean[Kota],A18,tbl_survey_clean[Rating_Harga])</f>
        <v>2.5</v>
      </c>
      <c r="F18">
        <f>AVERAGEIF(tbl_survey_clean[Kota],A18,tbl_survey_clean[Rating_Pengiriman])</f>
        <v>3</v>
      </c>
      <c r="G18">
        <f>SUMIF(tbl_survey_clean[Kota],A18,tbl_survey_clean[Total_Belanja_Setahun])</f>
        <v>4000000</v>
      </c>
      <c r="H18">
        <f>COUNTIFS(tbl_survey_clean[Kota],A18,tbl_survey_clean[Kategori_NPS],"Promoter")</f>
        <v>0</v>
      </c>
      <c r="I18">
        <f>COUNTIFS(tbl_survey_clean[Kota],A18,tbl_survey_clean[Kategori_NPS],"Detractor")</f>
        <v>2</v>
      </c>
      <c r="J18">
        <f t="shared" si="0"/>
        <v>-100</v>
      </c>
    </row>
    <row r="19" spans="1:10" x14ac:dyDescent="0.3">
      <c r="A19" t="str">
        <v>Makassar</v>
      </c>
      <c r="B19">
        <f>COUNTIF(tbl_survey_clean[Kota],A19)</f>
        <v>5</v>
      </c>
      <c r="C19">
        <f>AVERAGEIF(tbl_survey_clean[Kota],A19,tbl_survey_clean[Rating_Produk])</f>
        <v>3.2</v>
      </c>
      <c r="D19">
        <f>AVERAGEIF(tbl_survey_clean[Kota],A19,tbl_survey_clean[Rating_Pelayanan])</f>
        <v>3.4</v>
      </c>
      <c r="E19">
        <f>AVERAGEIF(tbl_survey_clean[Kota],A19,tbl_survey_clean[Rating_Harga])</f>
        <v>2.2000000000000002</v>
      </c>
      <c r="F19">
        <f>AVERAGEIF(tbl_survey_clean[Kota],A19,tbl_survey_clean[Rating_Pengiriman])</f>
        <v>3.4</v>
      </c>
      <c r="G19">
        <f>SUMIF(tbl_survey_clean[Kota],A19,tbl_survey_clean[Total_Belanja_Setahun])</f>
        <v>7400000</v>
      </c>
      <c r="H19">
        <f>COUNTIFS(tbl_survey_clean[Kota],A19,tbl_survey_clean[Kategori_NPS],"Promoter")</f>
        <v>1</v>
      </c>
      <c r="I19">
        <f>COUNTIFS(tbl_survey_clean[Kota],A19,tbl_survey_clean[Kategori_NPS],"Detractor")</f>
        <v>4</v>
      </c>
      <c r="J19">
        <f t="shared" si="0"/>
        <v>-60</v>
      </c>
    </row>
    <row r="20" spans="1:10" x14ac:dyDescent="0.3">
      <c r="A20" t="str">
        <v>Malang</v>
      </c>
      <c r="B20">
        <f>COUNTIF(tbl_survey_clean[Kota],A20)</f>
        <v>5</v>
      </c>
      <c r="C20">
        <f>AVERAGEIF(tbl_survey_clean[Kota],A20,tbl_survey_clean[Rating_Produk])</f>
        <v>3.4</v>
      </c>
      <c r="D20">
        <f>AVERAGEIF(tbl_survey_clean[Kota],A20,tbl_survey_clean[Rating_Pelayanan])</f>
        <v>3</v>
      </c>
      <c r="E20">
        <f>AVERAGEIF(tbl_survey_clean[Kota],A20,tbl_survey_clean[Rating_Harga])</f>
        <v>4.2</v>
      </c>
      <c r="F20">
        <f>AVERAGEIF(tbl_survey_clean[Kota],A20,tbl_survey_clean[Rating_Pengiriman])</f>
        <v>3.2</v>
      </c>
      <c r="G20">
        <f>SUMIF(tbl_survey_clean[Kota],A20,tbl_survey_clean[Total_Belanja_Setahun])</f>
        <v>6100000</v>
      </c>
      <c r="H20">
        <f>COUNTIFS(tbl_survey_clean[Kota],A20,tbl_survey_clean[Kategori_NPS],"Promoter")</f>
        <v>0</v>
      </c>
      <c r="I20">
        <f>COUNTIFS(tbl_survey_clean[Kota],A20,tbl_survey_clean[Kategori_NPS],"Detractor")</f>
        <v>5</v>
      </c>
      <c r="J20">
        <f t="shared" si="0"/>
        <v>-100</v>
      </c>
    </row>
    <row r="21" spans="1:10" x14ac:dyDescent="0.3">
      <c r="A21" t="str">
        <v>Medan</v>
      </c>
      <c r="B21">
        <f>COUNTIF(tbl_survey_clean[Kota],A21)</f>
        <v>6</v>
      </c>
      <c r="C21">
        <f>AVERAGEIF(tbl_survey_clean[Kota],A21,tbl_survey_clean[Rating_Produk])</f>
        <v>2.6666666666666665</v>
      </c>
      <c r="D21">
        <f>AVERAGEIF(tbl_survey_clean[Kota],A21,tbl_survey_clean[Rating_Pelayanan])</f>
        <v>3</v>
      </c>
      <c r="E21">
        <f>AVERAGEIF(tbl_survey_clean[Kota],A21,tbl_survey_clean[Rating_Harga])</f>
        <v>2.8333333333333335</v>
      </c>
      <c r="F21">
        <f>AVERAGEIF(tbl_survey_clean[Kota],A21,tbl_survey_clean[Rating_Pengiriman])</f>
        <v>3</v>
      </c>
      <c r="G21">
        <f>SUMIF(tbl_survey_clean[Kota],A21,tbl_survey_clean[Total_Belanja_Setahun])</f>
        <v>7500000</v>
      </c>
      <c r="H21">
        <f>COUNTIFS(tbl_survey_clean[Kota],A21,tbl_survey_clean[Kategori_NPS],"Promoter")</f>
        <v>1</v>
      </c>
      <c r="I21">
        <f>COUNTIFS(tbl_survey_clean[Kota],A21,tbl_survey_clean[Kategori_NPS],"Detractor")</f>
        <v>4</v>
      </c>
      <c r="J21">
        <f t="shared" si="0"/>
        <v>-50</v>
      </c>
    </row>
    <row r="22" spans="1:10" x14ac:dyDescent="0.3">
      <c r="A22" t="str">
        <v>Metro</v>
      </c>
      <c r="B22">
        <f>COUNTIF(tbl_survey_clean[Kota],A22)</f>
        <v>2</v>
      </c>
      <c r="C22">
        <f>AVERAGEIF(tbl_survey_clean[Kota],A22,tbl_survey_clean[Rating_Produk])</f>
        <v>3</v>
      </c>
      <c r="D22">
        <f>AVERAGEIF(tbl_survey_clean[Kota],A22,tbl_survey_clean[Rating_Pelayanan])</f>
        <v>4</v>
      </c>
      <c r="E22">
        <f>AVERAGEIF(tbl_survey_clean[Kota],A22,tbl_survey_clean[Rating_Harga])</f>
        <v>2.5</v>
      </c>
      <c r="F22">
        <f>AVERAGEIF(tbl_survey_clean[Kota],A22,tbl_survey_clean[Rating_Pengiriman])</f>
        <v>4</v>
      </c>
      <c r="G22">
        <f>SUMIF(tbl_survey_clean[Kota],A22,tbl_survey_clean[Total_Belanja_Setahun])</f>
        <v>1500000</v>
      </c>
      <c r="H22">
        <f>COUNTIFS(tbl_survey_clean[Kota],A22,tbl_survey_clean[Kategori_NPS],"Promoter")</f>
        <v>0</v>
      </c>
      <c r="I22">
        <f>COUNTIFS(tbl_survey_clean[Kota],A22,tbl_survey_clean[Kategori_NPS],"Detractor")</f>
        <v>1</v>
      </c>
      <c r="J22">
        <f t="shared" si="0"/>
        <v>-50</v>
      </c>
    </row>
    <row r="23" spans="1:10" x14ac:dyDescent="0.3">
      <c r="A23" t="str">
        <v>Palembang</v>
      </c>
      <c r="B23">
        <f>COUNTIF(tbl_survey_clean[Kota],A23)</f>
        <v>8</v>
      </c>
      <c r="C23">
        <f>AVERAGEIF(tbl_survey_clean[Kota],A23,tbl_survey_clean[Rating_Produk])</f>
        <v>3.75</v>
      </c>
      <c r="D23">
        <f>AVERAGEIF(tbl_survey_clean[Kota],A23,tbl_survey_clean[Rating_Pelayanan])</f>
        <v>2.75</v>
      </c>
      <c r="E23">
        <f>AVERAGEIF(tbl_survey_clean[Kota],A23,tbl_survey_clean[Rating_Harga])</f>
        <v>2.375</v>
      </c>
      <c r="F23">
        <f>AVERAGEIF(tbl_survey_clean[Kota],A23,tbl_survey_clean[Rating_Pengiriman])</f>
        <v>2.875</v>
      </c>
      <c r="G23">
        <f>SUMIF(tbl_survey_clean[Kota],A23,tbl_survey_clean[Total_Belanja_Setahun])</f>
        <v>10700000</v>
      </c>
      <c r="H23">
        <f>COUNTIFS(tbl_survey_clean[Kota],A23,tbl_survey_clean[Kategori_NPS],"Promoter")</f>
        <v>2</v>
      </c>
      <c r="I23">
        <f>COUNTIFS(tbl_survey_clean[Kota],A23,tbl_survey_clean[Kategori_NPS],"Detractor")</f>
        <v>6</v>
      </c>
      <c r="J23">
        <f t="shared" si="0"/>
        <v>-50</v>
      </c>
    </row>
    <row r="24" spans="1:10" x14ac:dyDescent="0.3">
      <c r="A24" t="str">
        <v>Parepare</v>
      </c>
      <c r="B24">
        <f>COUNTIF(tbl_survey_clean[Kota],A24)</f>
        <v>12</v>
      </c>
      <c r="C24">
        <f>AVERAGEIF(tbl_survey_clean[Kota],A24,tbl_survey_clean[Rating_Produk])</f>
        <v>3.4166666666666665</v>
      </c>
      <c r="D24">
        <f>AVERAGEIF(tbl_survey_clean[Kota],A24,tbl_survey_clean[Rating_Pelayanan])</f>
        <v>2.6666666666666665</v>
      </c>
      <c r="E24">
        <f>AVERAGEIF(tbl_survey_clean[Kota],A24,tbl_survey_clean[Rating_Harga])</f>
        <v>3</v>
      </c>
      <c r="F24">
        <f>AVERAGEIF(tbl_survey_clean[Kota],A24,tbl_survey_clean[Rating_Pengiriman])</f>
        <v>3.0833333333333335</v>
      </c>
      <c r="G24">
        <f>SUMIF(tbl_survey_clean[Kota],A24,tbl_survey_clean[Total_Belanja_Setahun])</f>
        <v>12150000</v>
      </c>
      <c r="H24">
        <f>COUNTIFS(tbl_survey_clean[Kota],A24,tbl_survey_clean[Kategori_NPS],"Promoter")</f>
        <v>2</v>
      </c>
      <c r="I24">
        <f>COUNTIFS(tbl_survey_clean[Kota],A24,tbl_survey_clean[Kategori_NPS],"Detractor")</f>
        <v>6</v>
      </c>
      <c r="J24">
        <f t="shared" si="0"/>
        <v>-33.333333333333329</v>
      </c>
    </row>
    <row r="25" spans="1:10" x14ac:dyDescent="0.3">
      <c r="A25" t="str">
        <v>Pekanbaru</v>
      </c>
      <c r="B25">
        <f>COUNTIF(tbl_survey_clean[Kota],A25)</f>
        <v>5</v>
      </c>
      <c r="C25">
        <f>AVERAGEIF(tbl_survey_clean[Kota],A25,tbl_survey_clean[Rating_Produk])</f>
        <v>2.6</v>
      </c>
      <c r="D25">
        <f>AVERAGEIF(tbl_survey_clean[Kota],A25,tbl_survey_clean[Rating_Pelayanan])</f>
        <v>3</v>
      </c>
      <c r="E25">
        <f>AVERAGEIF(tbl_survey_clean[Kota],A25,tbl_survey_clean[Rating_Harga])</f>
        <v>2.2000000000000002</v>
      </c>
      <c r="F25">
        <f>AVERAGEIF(tbl_survey_clean[Kota],A25,tbl_survey_clean[Rating_Pengiriman])</f>
        <v>3</v>
      </c>
      <c r="G25">
        <f>SUMIF(tbl_survey_clean[Kota],A25,tbl_survey_clean[Total_Belanja_Setahun])</f>
        <v>5050000</v>
      </c>
      <c r="H25">
        <f>COUNTIFS(tbl_survey_clean[Kota],A25,tbl_survey_clean[Kategori_NPS],"Promoter")</f>
        <v>1</v>
      </c>
      <c r="I25">
        <f>COUNTIFS(tbl_survey_clean[Kota],A25,tbl_survey_clean[Kategori_NPS],"Detractor")</f>
        <v>3</v>
      </c>
      <c r="J25">
        <f t="shared" si="0"/>
        <v>-40</v>
      </c>
    </row>
    <row r="26" spans="1:10" x14ac:dyDescent="0.3">
      <c r="A26" t="str">
        <v>Pematangsiantar</v>
      </c>
      <c r="B26">
        <f>COUNTIF(tbl_survey_clean[Kota],A26)</f>
        <v>4</v>
      </c>
      <c r="C26">
        <f>AVERAGEIF(tbl_survey_clean[Kota],A26,tbl_survey_clean[Rating_Produk])</f>
        <v>3.25</v>
      </c>
      <c r="D26">
        <f>AVERAGEIF(tbl_survey_clean[Kota],A26,tbl_survey_clean[Rating_Pelayanan])</f>
        <v>2.25</v>
      </c>
      <c r="E26">
        <f>AVERAGEIF(tbl_survey_clean[Kota],A26,tbl_survey_clean[Rating_Harga])</f>
        <v>2.5</v>
      </c>
      <c r="F26">
        <f>AVERAGEIF(tbl_survey_clean[Kota],A26,tbl_survey_clean[Rating_Pengiriman])</f>
        <v>2.25</v>
      </c>
      <c r="G26">
        <f>SUMIF(tbl_survey_clean[Kota],A26,tbl_survey_clean[Total_Belanja_Setahun])</f>
        <v>5850000</v>
      </c>
      <c r="H26">
        <f>COUNTIFS(tbl_survey_clean[Kota],A26,tbl_survey_clean[Kategori_NPS],"Promoter")</f>
        <v>0</v>
      </c>
      <c r="I26">
        <f>COUNTIFS(tbl_survey_clean[Kota],A26,tbl_survey_clean[Kategori_NPS],"Detractor")</f>
        <v>3</v>
      </c>
      <c r="J26">
        <f t="shared" si="0"/>
        <v>-75</v>
      </c>
    </row>
    <row r="27" spans="1:10" x14ac:dyDescent="0.3">
      <c r="A27" t="str">
        <v>Samarinda</v>
      </c>
      <c r="B27">
        <f>COUNTIF(tbl_survey_clean[Kota],A27)</f>
        <v>7</v>
      </c>
      <c r="C27">
        <f>AVERAGEIF(tbl_survey_clean[Kota],A27,tbl_survey_clean[Rating_Produk])</f>
        <v>2.8571428571428572</v>
      </c>
      <c r="D27">
        <f>AVERAGEIF(tbl_survey_clean[Kota],A27,tbl_survey_clean[Rating_Pelayanan])</f>
        <v>2.7142857142857144</v>
      </c>
      <c r="E27">
        <f>AVERAGEIF(tbl_survey_clean[Kota],A27,tbl_survey_clean[Rating_Harga])</f>
        <v>4.4285714285714288</v>
      </c>
      <c r="F27">
        <f>AVERAGEIF(tbl_survey_clean[Kota],A27,tbl_survey_clean[Rating_Pengiriman])</f>
        <v>3.2857142857142856</v>
      </c>
      <c r="G27">
        <f>SUMIF(tbl_survey_clean[Kota],A27,tbl_survey_clean[Total_Belanja_Setahun])</f>
        <v>12900000</v>
      </c>
      <c r="H27">
        <f>COUNTIFS(tbl_survey_clean[Kota],A27,tbl_survey_clean[Kategori_NPS],"Promoter")</f>
        <v>0</v>
      </c>
      <c r="I27">
        <f>COUNTIFS(tbl_survey_clean[Kota],A27,tbl_survey_clean[Kategori_NPS],"Detractor")</f>
        <v>5</v>
      </c>
      <c r="J27">
        <f t="shared" si="0"/>
        <v>-71.428571428571431</v>
      </c>
    </row>
    <row r="28" spans="1:10" x14ac:dyDescent="0.3">
      <c r="A28" t="str">
        <v>Semarang</v>
      </c>
      <c r="B28">
        <f>COUNTIF(tbl_survey_clean[Kota],A28)</f>
        <v>8</v>
      </c>
      <c r="C28">
        <f>AVERAGEIF(tbl_survey_clean[Kota],A28,tbl_survey_clean[Rating_Produk])</f>
        <v>3.375</v>
      </c>
      <c r="D28">
        <f>AVERAGEIF(tbl_survey_clean[Kota],A28,tbl_survey_clean[Rating_Pelayanan])</f>
        <v>3.625</v>
      </c>
      <c r="E28">
        <f>AVERAGEIF(tbl_survey_clean[Kota],A28,tbl_survey_clean[Rating_Harga])</f>
        <v>3.25</v>
      </c>
      <c r="F28">
        <f>AVERAGEIF(tbl_survey_clean[Kota],A28,tbl_survey_clean[Rating_Pengiriman])</f>
        <v>3.25</v>
      </c>
      <c r="G28">
        <f>SUMIF(tbl_survey_clean[Kota],A28,tbl_survey_clean[Total_Belanja_Setahun])</f>
        <v>5900000</v>
      </c>
      <c r="H28">
        <f>COUNTIFS(tbl_survey_clean[Kota],A28,tbl_survey_clean[Kategori_NPS],"Promoter")</f>
        <v>2</v>
      </c>
      <c r="I28">
        <f>COUNTIFS(tbl_survey_clean[Kota],A28,tbl_survey_clean[Kategori_NPS],"Detractor")</f>
        <v>4</v>
      </c>
      <c r="J28">
        <f t="shared" si="0"/>
        <v>-25</v>
      </c>
    </row>
    <row r="29" spans="1:10" x14ac:dyDescent="0.3">
      <c r="A29" t="str">
        <v>Serang</v>
      </c>
      <c r="B29">
        <f>COUNTIF(tbl_survey_clean[Kota],A29)</f>
        <v>9</v>
      </c>
      <c r="C29">
        <f>AVERAGEIF(tbl_survey_clean[Kota],A29,tbl_survey_clean[Rating_Produk])</f>
        <v>2.7777777777777777</v>
      </c>
      <c r="D29">
        <f>AVERAGEIF(tbl_survey_clean[Kota],A29,tbl_survey_clean[Rating_Pelayanan])</f>
        <v>2.5555555555555554</v>
      </c>
      <c r="E29">
        <f>AVERAGEIF(tbl_survey_clean[Kota],A29,tbl_survey_clean[Rating_Harga])</f>
        <v>2.2222222222222223</v>
      </c>
      <c r="F29">
        <f>AVERAGEIF(tbl_survey_clean[Kota],A29,tbl_survey_clean[Rating_Pengiriman])</f>
        <v>3.5555555555555554</v>
      </c>
      <c r="G29">
        <f>SUMIF(tbl_survey_clean[Kota],A29,tbl_survey_clean[Total_Belanja_Setahun])</f>
        <v>11800000</v>
      </c>
      <c r="H29">
        <f>COUNTIFS(tbl_survey_clean[Kota],A29,tbl_survey_clean[Kategori_NPS],"Promoter")</f>
        <v>0</v>
      </c>
      <c r="I29">
        <f>COUNTIFS(tbl_survey_clean[Kota],A29,tbl_survey_clean[Kategori_NPS],"Detractor")</f>
        <v>6</v>
      </c>
      <c r="J29">
        <f t="shared" si="0"/>
        <v>-66.666666666666657</v>
      </c>
    </row>
    <row r="30" spans="1:10" x14ac:dyDescent="0.3">
      <c r="A30" t="str">
        <v>Sidoarjo</v>
      </c>
      <c r="B30">
        <f>COUNTIF(tbl_survey_clean[Kota],A30)</f>
        <v>5</v>
      </c>
      <c r="C30">
        <f>AVERAGEIF(tbl_survey_clean[Kota],A30,tbl_survey_clean[Rating_Produk])</f>
        <v>2.8</v>
      </c>
      <c r="D30">
        <f>AVERAGEIF(tbl_survey_clean[Kota],A30,tbl_survey_clean[Rating_Pelayanan])</f>
        <v>2.8</v>
      </c>
      <c r="E30">
        <f>AVERAGEIF(tbl_survey_clean[Kota],A30,tbl_survey_clean[Rating_Harga])</f>
        <v>3.8</v>
      </c>
      <c r="F30">
        <f>AVERAGEIF(tbl_survey_clean[Kota],A30,tbl_survey_clean[Rating_Pengiriman])</f>
        <v>3.6</v>
      </c>
      <c r="G30">
        <f>SUMIF(tbl_survey_clean[Kota],A30,tbl_survey_clean[Total_Belanja_Setahun])</f>
        <v>800000</v>
      </c>
      <c r="H30">
        <f>COUNTIFS(tbl_survey_clean[Kota],A30,tbl_survey_clean[Kategori_NPS],"Promoter")</f>
        <v>2</v>
      </c>
      <c r="I30">
        <f>COUNTIFS(tbl_survey_clean[Kota],A30,tbl_survey_clean[Kategori_NPS],"Detractor")</f>
        <v>3</v>
      </c>
      <c r="J30">
        <f>IFERROR(((H30-I30)/B30)*100,0)</f>
        <v>-20</v>
      </c>
    </row>
    <row r="31" spans="1:10" x14ac:dyDescent="0.3">
      <c r="A31" t="str">
        <v>Sleman</v>
      </c>
      <c r="B31">
        <f>COUNTIF(tbl_survey_clean[Kota],A31)</f>
        <v>3</v>
      </c>
      <c r="C31">
        <f>AVERAGEIF(tbl_survey_clean[Kota],A31,tbl_survey_clean[Rating_Produk])</f>
        <v>2.3333333333333335</v>
      </c>
      <c r="D31">
        <f>AVERAGEIF(tbl_survey_clean[Kota],A31,tbl_survey_clean[Rating_Pelayanan])</f>
        <v>3.6666666666666665</v>
      </c>
      <c r="E31">
        <f>AVERAGEIF(tbl_survey_clean[Kota],A31,tbl_survey_clean[Rating_Harga])</f>
        <v>4.333333333333333</v>
      </c>
      <c r="F31">
        <f>AVERAGEIF(tbl_survey_clean[Kota],A31,tbl_survey_clean[Rating_Pengiriman])</f>
        <v>2</v>
      </c>
      <c r="G31">
        <f>SUMIF(tbl_survey_clean[Kota],A31,tbl_survey_clean[Total_Belanja_Setahun])</f>
        <v>5600000</v>
      </c>
      <c r="H31">
        <f>COUNTIFS(tbl_survey_clean[Kota],A31,tbl_survey_clean[Kategori_NPS],"Promoter")</f>
        <v>0</v>
      </c>
      <c r="I31">
        <f>COUNTIFS(tbl_survey_clean[Kota],A31,tbl_survey_clean[Kategori_NPS],"Detractor")</f>
        <v>3</v>
      </c>
      <c r="J31">
        <f t="shared" ref="J31:J37" si="1">IFERROR(((H31-I31)/B31)*100,0)</f>
        <v>-100</v>
      </c>
    </row>
    <row r="32" spans="1:10" x14ac:dyDescent="0.3">
      <c r="A32" t="str">
        <v>Solo</v>
      </c>
      <c r="B32">
        <f>COUNTIF(tbl_survey_clean[Kota],A32)</f>
        <v>5</v>
      </c>
      <c r="C32">
        <f>AVERAGEIF(tbl_survey_clean[Kota],A32,tbl_survey_clean[Rating_Produk])</f>
        <v>2.4</v>
      </c>
      <c r="D32">
        <f>AVERAGEIF(tbl_survey_clean[Kota],A32,tbl_survey_clean[Rating_Pelayanan])</f>
        <v>2.6</v>
      </c>
      <c r="E32">
        <f>AVERAGEIF(tbl_survey_clean[Kota],A32,tbl_survey_clean[Rating_Harga])</f>
        <v>3.4</v>
      </c>
      <c r="F32">
        <f>AVERAGEIF(tbl_survey_clean[Kota],A32,tbl_survey_clean[Rating_Pengiriman])</f>
        <v>3</v>
      </c>
      <c r="G32">
        <f>SUMIF(tbl_survey_clean[Kota],A32,tbl_survey_clean[Total_Belanja_Setahun])</f>
        <v>650000</v>
      </c>
      <c r="H32">
        <f>COUNTIFS(tbl_survey_clean[Kota],A32,tbl_survey_clean[Kategori_NPS],"Promoter")</f>
        <v>0</v>
      </c>
      <c r="I32">
        <f>COUNTIFS(tbl_survey_clean[Kota],A32,tbl_survey_clean[Kategori_NPS],"Detractor")</f>
        <v>2</v>
      </c>
      <c r="J32">
        <f t="shared" si="1"/>
        <v>-40</v>
      </c>
    </row>
    <row r="33" spans="1:10" x14ac:dyDescent="0.3">
      <c r="A33" t="str">
        <v>Sorong</v>
      </c>
      <c r="B33">
        <f>COUNTIF(tbl_survey_clean[Kota],A33)</f>
        <v>6</v>
      </c>
      <c r="C33">
        <f>AVERAGEIF(tbl_survey_clean[Kota],A33,tbl_survey_clean[Rating_Produk])</f>
        <v>3.3333333333333335</v>
      </c>
      <c r="D33">
        <f>AVERAGEIF(tbl_survey_clean[Kota],A33,tbl_survey_clean[Rating_Pelayanan])</f>
        <v>4</v>
      </c>
      <c r="E33">
        <f>AVERAGEIF(tbl_survey_clean[Kota],A33,tbl_survey_clean[Rating_Harga])</f>
        <v>3.3333333333333335</v>
      </c>
      <c r="F33">
        <f>AVERAGEIF(tbl_survey_clean[Kota],A33,tbl_survey_clean[Rating_Pengiriman])</f>
        <v>2.1666666666666665</v>
      </c>
      <c r="G33">
        <f>SUMIF(tbl_survey_clean[Kota],A33,tbl_survey_clean[Total_Belanja_Setahun])</f>
        <v>7350000</v>
      </c>
      <c r="H33">
        <f>COUNTIFS(tbl_survey_clean[Kota],A33,tbl_survey_clean[Kategori_NPS],"Promoter")</f>
        <v>3</v>
      </c>
      <c r="I33">
        <f>COUNTIFS(tbl_survey_clean[Kota],A33,tbl_survey_clean[Kategori_NPS],"Detractor")</f>
        <v>2</v>
      </c>
      <c r="J33">
        <f t="shared" si="1"/>
        <v>16.666666666666664</v>
      </c>
    </row>
    <row r="34" spans="1:10" x14ac:dyDescent="0.3">
      <c r="A34" t="str">
        <v>Surabaya</v>
      </c>
      <c r="B34">
        <f>COUNTIF(tbl_survey_clean[Kota],A34)</f>
        <v>9</v>
      </c>
      <c r="C34">
        <f>AVERAGEIF(tbl_survey_clean[Kota],A34,tbl_survey_clean[Rating_Produk])</f>
        <v>3.3333333333333335</v>
      </c>
      <c r="D34">
        <f>AVERAGEIF(tbl_survey_clean[Kota],A34,tbl_survey_clean[Rating_Pelayanan])</f>
        <v>3.3333333333333335</v>
      </c>
      <c r="E34">
        <f>AVERAGEIF(tbl_survey_clean[Kota],A34,tbl_survey_clean[Rating_Harga])</f>
        <v>3.3333333333333335</v>
      </c>
      <c r="F34">
        <f>AVERAGEIF(tbl_survey_clean[Kota],A34,tbl_survey_clean[Rating_Pengiriman])</f>
        <v>3.1111111111111112</v>
      </c>
      <c r="G34">
        <f>SUMIF(tbl_survey_clean[Kota],A34,tbl_survey_clean[Total_Belanja_Setahun])</f>
        <v>13850000</v>
      </c>
      <c r="H34">
        <f>COUNTIFS(tbl_survey_clean[Kota],A34,tbl_survey_clean[Kategori_NPS],"Promoter")</f>
        <v>0</v>
      </c>
      <c r="I34">
        <f>COUNTIFS(tbl_survey_clean[Kota],A34,tbl_survey_clean[Kategori_NPS],"Detractor")</f>
        <v>8</v>
      </c>
      <c r="J34">
        <f t="shared" si="1"/>
        <v>-88.888888888888886</v>
      </c>
    </row>
    <row r="35" spans="1:10" x14ac:dyDescent="0.3">
      <c r="A35" t="str">
        <v>Tangerang</v>
      </c>
      <c r="B35">
        <f>COUNTIF(tbl_survey_clean[Kota],A35)</f>
        <v>5</v>
      </c>
      <c r="C35">
        <f>AVERAGEIF(tbl_survey_clean[Kota],A35,tbl_survey_clean[Rating_Produk])</f>
        <v>3.2</v>
      </c>
      <c r="D35">
        <f>AVERAGEIF(tbl_survey_clean[Kota],A35,tbl_survey_clean[Rating_Pelayanan])</f>
        <v>3</v>
      </c>
      <c r="E35">
        <f>AVERAGEIF(tbl_survey_clean[Kota],A35,tbl_survey_clean[Rating_Harga])</f>
        <v>2.2000000000000002</v>
      </c>
      <c r="F35">
        <f>AVERAGEIF(tbl_survey_clean[Kota],A35,tbl_survey_clean[Rating_Pengiriman])</f>
        <v>3.6</v>
      </c>
      <c r="G35">
        <f>SUMIF(tbl_survey_clean[Kota],A35,tbl_survey_clean[Total_Belanja_Setahun])</f>
        <v>3600000</v>
      </c>
      <c r="H35">
        <f>COUNTIFS(tbl_survey_clean[Kota],A35,tbl_survey_clean[Kategori_NPS],"Promoter")</f>
        <v>1</v>
      </c>
      <c r="I35">
        <f>COUNTIFS(tbl_survey_clean[Kota],A35,tbl_survey_clean[Kategori_NPS],"Detractor")</f>
        <v>2</v>
      </c>
      <c r="J35">
        <f t="shared" si="1"/>
        <v>-20</v>
      </c>
    </row>
    <row r="36" spans="1:10" x14ac:dyDescent="0.3">
      <c r="A36" t="str">
        <v>Ubud</v>
      </c>
      <c r="B36">
        <f>COUNTIF(tbl_survey_clean[Kota],A36)</f>
        <v>6</v>
      </c>
      <c r="C36">
        <f>AVERAGEIF(tbl_survey_clean[Kota],A36,tbl_survey_clean[Rating_Produk])</f>
        <v>2.5</v>
      </c>
      <c r="D36">
        <f>AVERAGEIF(tbl_survey_clean[Kota],A36,tbl_survey_clean[Rating_Pelayanan])</f>
        <v>2.8333333333333335</v>
      </c>
      <c r="E36">
        <f>AVERAGEIF(tbl_survey_clean[Kota],A36,tbl_survey_clean[Rating_Harga])</f>
        <v>2.6666666666666665</v>
      </c>
      <c r="F36">
        <f>AVERAGEIF(tbl_survey_clean[Kota],A36,tbl_survey_clean[Rating_Pengiriman])</f>
        <v>3</v>
      </c>
      <c r="G36">
        <f>SUMIF(tbl_survey_clean[Kota],A36,tbl_survey_clean[Total_Belanja_Setahun])</f>
        <v>3100000</v>
      </c>
      <c r="H36">
        <f>COUNTIFS(tbl_survey_clean[Kota],A36,tbl_survey_clean[Kategori_NPS],"Promoter")</f>
        <v>2</v>
      </c>
      <c r="I36">
        <f>COUNTIFS(tbl_survey_clean[Kota],A36,tbl_survey_clean[Kategori_NPS],"Detractor")</f>
        <v>3</v>
      </c>
      <c r="J36">
        <f t="shared" si="1"/>
        <v>-16.666666666666664</v>
      </c>
    </row>
    <row r="37" spans="1:10" x14ac:dyDescent="0.3">
      <c r="A37" t="str">
        <v>Yogyakarta</v>
      </c>
      <c r="B37">
        <f>COUNTIF(tbl_survey_clean[Kota],A37)</f>
        <v>6</v>
      </c>
      <c r="C37">
        <f>AVERAGEIF(tbl_survey_clean[Kota],A37,tbl_survey_clean[Rating_Produk])</f>
        <v>3.5</v>
      </c>
      <c r="D37">
        <f>AVERAGEIF(tbl_survey_clean[Kota],A37,tbl_survey_clean[Rating_Pelayanan])</f>
        <v>3</v>
      </c>
      <c r="E37">
        <f>AVERAGEIF(tbl_survey_clean[Kota],A37,tbl_survey_clean[Rating_Harga])</f>
        <v>4.5</v>
      </c>
      <c r="F37">
        <f>AVERAGEIF(tbl_survey_clean[Kota],A37,tbl_survey_clean[Rating_Pengiriman])</f>
        <v>3.5</v>
      </c>
      <c r="G37">
        <f>SUMIF(tbl_survey_clean[Kota],A37,tbl_survey_clean[Total_Belanja_Setahun])</f>
        <v>3200000</v>
      </c>
      <c r="H37">
        <f>COUNTIFS(tbl_survey_clean[Kota],A37,tbl_survey_clean[Kategori_NPS],"Promoter")</f>
        <v>0</v>
      </c>
      <c r="I37">
        <f>COUNTIFS(tbl_survey_clean[Kota],A37,tbl_survey_clean[Kategori_NPS],"Detractor")</f>
        <v>6</v>
      </c>
      <c r="J37">
        <f t="shared" si="1"/>
        <v>-100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800B-BA5C-42C4-9139-7F00DA4839EA}">
  <dimension ref="A1:J6"/>
  <sheetViews>
    <sheetView workbookViewId="0">
      <selection sqref="A1:J6"/>
    </sheetView>
  </sheetViews>
  <sheetFormatPr defaultRowHeight="14.4" x14ac:dyDescent="0.3"/>
  <cols>
    <col min="1" max="1" width="15.44140625" customWidth="1"/>
    <col min="2" max="2" width="10.21875" customWidth="1"/>
    <col min="3" max="3" width="12.6640625" customWidth="1"/>
    <col min="4" max="4" width="15.33203125" customWidth="1"/>
    <col min="5" max="5" width="11.44140625" customWidth="1"/>
    <col min="6" max="6" width="16.109375" customWidth="1"/>
    <col min="7" max="7" width="13.77734375" customWidth="1"/>
    <col min="8" max="8" width="10.88671875" customWidth="1"/>
    <col min="9" max="9" width="10.77734375" customWidth="1"/>
    <col min="10" max="10" width="10.33203125" customWidth="1"/>
  </cols>
  <sheetData>
    <row r="1" spans="1:10" ht="43.2" x14ac:dyDescent="0.3">
      <c r="A1" s="7" t="s">
        <v>398</v>
      </c>
      <c r="B1" s="9" t="s">
        <v>356</v>
      </c>
      <c r="C1" s="9" t="s">
        <v>391</v>
      </c>
      <c r="D1" s="9" t="s">
        <v>392</v>
      </c>
      <c r="E1" s="9" t="s">
        <v>393</v>
      </c>
      <c r="F1" s="9" t="s">
        <v>394</v>
      </c>
      <c r="G1" s="9" t="s">
        <v>395</v>
      </c>
      <c r="H1" s="9" t="s">
        <v>42</v>
      </c>
      <c r="I1" s="9" t="s">
        <v>33</v>
      </c>
      <c r="J1" s="9" t="s">
        <v>399</v>
      </c>
    </row>
    <row r="2" spans="1:10" x14ac:dyDescent="0.3">
      <c r="A2" t="s">
        <v>90</v>
      </c>
      <c r="B2">
        <f>COUNTIF(tbl_survey_clean[Kelompok_Usia],A2)</f>
        <v>37</v>
      </c>
      <c r="C2">
        <f>AVERAGEIF(tbl_survey_clean[Kelompok_Usia],A2,tbl_survey_clean[Rating_Produk])</f>
        <v>3.3513513513513513</v>
      </c>
      <c r="D2">
        <f>AVERAGEIF(tbl_survey_clean[Kelompok_Usia],A2,tbl_survey_clean[Rating_Pelayanan])</f>
        <v>2.8918918918918921</v>
      </c>
      <c r="E2">
        <f>AVERAGEIF(tbl_survey_clean[Kelompok_Usia],A2, tbl_survey_clean[Rating_Harga])</f>
        <v>3.189189189189189</v>
      </c>
      <c r="F2">
        <f>AVERAGEIF(tbl_survey_clean[Kelompok_Usia],A2,tbl_survey_clean[Rating_Pengiriman])</f>
        <v>3.4324324324324325</v>
      </c>
      <c r="G2">
        <f>SUMIF(tbl_survey_clean[Kelompok_Usia],A2,tbl_survey_clean[Total_Belanja_Setahun])</f>
        <v>45950000</v>
      </c>
      <c r="H2">
        <f>COUNTIFS(tbl_survey_clean[Kelompok_Usia],A2, tbl_survey_clean[Kategori_NPS],"Promoter")</f>
        <v>8</v>
      </c>
      <c r="I2">
        <f>COUNTIFS(tbl_survey_clean[Kelompok_Usia],A2,tbl_survey_clean[Kategori_NPS],"Detractor")</f>
        <v>21</v>
      </c>
      <c r="J2">
        <f>IFERROR(((H2-I2)/B2)*100,0)</f>
        <v>-35.135135135135137</v>
      </c>
    </row>
    <row r="3" spans="1:10" x14ac:dyDescent="0.3">
      <c r="A3" t="s">
        <v>54</v>
      </c>
      <c r="B3">
        <f>COUNTIF(tbl_survey_clean[Kelompok_Usia],A3)</f>
        <v>39</v>
      </c>
      <c r="C3">
        <f>AVERAGEIF(tbl_survey_clean[Kelompok_Usia],A3,tbl_survey_clean[Rating_Produk])</f>
        <v>3.0256410256410255</v>
      </c>
      <c r="D3">
        <f>AVERAGEIF(tbl_survey_clean[Kelompok_Usia],A3,tbl_survey_clean[Rating_Pelayanan])</f>
        <v>2.8974358974358974</v>
      </c>
      <c r="E3">
        <f>AVERAGEIF(tbl_survey_clean[Kelompok_Usia],A3, tbl_survey_clean[Rating_Harga])</f>
        <v>2.8205128205128207</v>
      </c>
      <c r="F3">
        <f>AVERAGEIF(tbl_survey_clean[Kelompok_Usia],A3,tbl_survey_clean[Rating_Pengiriman])</f>
        <v>2.8717948717948718</v>
      </c>
      <c r="G3">
        <f>SUMIF(tbl_survey_clean[Kelompok_Usia],A3,tbl_survey_clean[Total_Belanja_Setahun])</f>
        <v>53350000</v>
      </c>
      <c r="H3">
        <f>COUNTIFS(tbl_survey_clean[Kelompok_Usia],A3, tbl_survey_clean[Kategori_NPS],"Promoter")</f>
        <v>3</v>
      </c>
      <c r="I3">
        <f>COUNTIFS(tbl_survey_clean[Kelompok_Usia],A3,tbl_survey_clean[Kategori_NPS],"Detractor")</f>
        <v>28</v>
      </c>
      <c r="J3">
        <f t="shared" ref="J3:J6" si="0">IFERROR(((H3-I3)/B3)*100,0)</f>
        <v>-64.102564102564102</v>
      </c>
    </row>
    <row r="4" spans="1:10" x14ac:dyDescent="0.3">
      <c r="A4" t="s">
        <v>20</v>
      </c>
      <c r="B4">
        <f>COUNTIF(tbl_survey_clean[Kelompok_Usia],A4)</f>
        <v>44</v>
      </c>
      <c r="C4">
        <f>AVERAGEIF(tbl_survey_clean[Kelompok_Usia],A4,tbl_survey_clean[Rating_Produk])</f>
        <v>3.0681818181818183</v>
      </c>
      <c r="D4">
        <f>AVERAGEIF(tbl_survey_clean[Kelompok_Usia],A4,tbl_survey_clean[Rating_Pelayanan])</f>
        <v>3.0227272727272729</v>
      </c>
      <c r="E4">
        <f>AVERAGEIF(tbl_survey_clean[Kelompok_Usia],A4, tbl_survey_clean[Rating_Harga])</f>
        <v>3.1363636363636362</v>
      </c>
      <c r="F4">
        <f>AVERAGEIF(tbl_survey_clean[Kelompok_Usia],A4,tbl_survey_clean[Rating_Pengiriman])</f>
        <v>3.0681818181818183</v>
      </c>
      <c r="G4">
        <f>SUMIF(tbl_survey_clean[Kelompok_Usia],A4,tbl_survey_clean[Total_Belanja_Setahun])</f>
        <v>46450000</v>
      </c>
      <c r="H4">
        <f>COUNTIFS(tbl_survey_clean[Kelompok_Usia],A4, tbl_survey_clean[Kategori_NPS],"Promoter")</f>
        <v>7</v>
      </c>
      <c r="I4">
        <f>COUNTIFS(tbl_survey_clean[Kelompok_Usia],A4,tbl_survey_clean[Kategori_NPS],"Detractor")</f>
        <v>29</v>
      </c>
      <c r="J4">
        <f t="shared" si="0"/>
        <v>-50</v>
      </c>
    </row>
    <row r="5" spans="1:10" x14ac:dyDescent="0.3">
      <c r="A5" t="s">
        <v>30</v>
      </c>
      <c r="B5">
        <f>COUNTIF(tbl_survey_clean[Kelompok_Usia],A5)</f>
        <v>32</v>
      </c>
      <c r="C5">
        <f>AVERAGEIF(tbl_survey_clean[Kelompok_Usia],A5,tbl_survey_clean[Rating_Produk])</f>
        <v>3.09375</v>
      </c>
      <c r="D5">
        <f>AVERAGEIF(tbl_survey_clean[Kelompok_Usia],A5,tbl_survey_clean[Rating_Pelayanan])</f>
        <v>2.59375</v>
      </c>
      <c r="E5">
        <f>AVERAGEIF(tbl_survey_clean[Kelompok_Usia],A5, tbl_survey_clean[Rating_Harga])</f>
        <v>2.96875</v>
      </c>
      <c r="F5">
        <f>AVERAGEIF(tbl_survey_clean[Kelompok_Usia],A5,tbl_survey_clean[Rating_Pengiriman])</f>
        <v>3.21875</v>
      </c>
      <c r="G5">
        <f>SUMIF(tbl_survey_clean[Kelompok_Usia],A5,tbl_survey_clean[Total_Belanja_Setahun])</f>
        <v>30700000</v>
      </c>
      <c r="H5">
        <f>COUNTIFS(tbl_survey_clean[Kelompok_Usia],A5, tbl_survey_clean[Kategori_NPS],"Promoter")</f>
        <v>6</v>
      </c>
      <c r="I5">
        <f>COUNTIFS(tbl_survey_clean[Kelompok_Usia],A5,tbl_survey_clean[Kategori_NPS],"Detractor")</f>
        <v>18</v>
      </c>
      <c r="J5">
        <f t="shared" si="0"/>
        <v>-37.5</v>
      </c>
    </row>
    <row r="6" spans="1:10" x14ac:dyDescent="0.3">
      <c r="A6" t="s">
        <v>83</v>
      </c>
      <c r="B6">
        <f>COUNTIF(tbl_survey_clean[Kelompok_Usia],A6)</f>
        <v>48</v>
      </c>
      <c r="C6">
        <f>AVERAGEIF(tbl_survey_clean[Kelompok_Usia],A6,tbl_survey_clean[Rating_Produk])</f>
        <v>3.2291666666666665</v>
      </c>
      <c r="D6">
        <f>AVERAGEIF(tbl_survey_clean[Kelompok_Usia],A6,tbl_survey_clean[Rating_Pelayanan])</f>
        <v>3.1666666666666665</v>
      </c>
      <c r="E6">
        <f>AVERAGEIF(tbl_survey_clean[Kelompok_Usia],A6, tbl_survey_clean[Rating_Harga])</f>
        <v>2.8958333333333335</v>
      </c>
      <c r="F6">
        <f>AVERAGEIF(tbl_survey_clean[Kelompok_Usia],A6,tbl_survey_clean[Rating_Pengiriman])</f>
        <v>2.875</v>
      </c>
      <c r="G6">
        <f>SUMIF(tbl_survey_clean[Kelompok_Usia],A6,tbl_survey_clean[Total_Belanja_Setahun])</f>
        <v>56100000</v>
      </c>
      <c r="H6">
        <f>COUNTIFS(tbl_survey_clean[Kelompok_Usia],A6, tbl_survey_clean[Kategori_NPS],"Promoter")</f>
        <v>8</v>
      </c>
      <c r="I6">
        <f>COUNTIFS(tbl_survey_clean[Kelompok_Usia],A6,tbl_survey_clean[Kategori_NPS],"Detractor")</f>
        <v>35</v>
      </c>
      <c r="J6">
        <f t="shared" si="0"/>
        <v>-56.25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9417D-EE93-40DB-AED6-9039CEC12D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Survey Raw</vt:lpstr>
      <vt:lpstr>Clean Data</vt:lpstr>
      <vt:lpstr>Monthly Trend</vt:lpstr>
      <vt:lpstr>Report</vt:lpstr>
      <vt:lpstr>Parameter</vt:lpstr>
      <vt:lpstr>NPS Summary</vt:lpstr>
      <vt:lpstr>City Breakdown</vt:lpstr>
      <vt:lpstr>Age Breakdown</vt:lpstr>
      <vt:lpstr>Passive_Min</vt:lpstr>
      <vt:lpstr>Report!Print_Area</vt:lpstr>
      <vt:lpstr>Promoter_Min</vt:lpstr>
      <vt:lpstr>Target_NPS</vt:lpstr>
      <vt:lpstr>Target_Rating</vt:lpstr>
      <vt:lpstr>Target_Response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 rhalasya</cp:lastModifiedBy>
  <dcterms:created xsi:type="dcterms:W3CDTF">2026-06-07T08:46:12Z</dcterms:created>
  <dcterms:modified xsi:type="dcterms:W3CDTF">2026-06-10T14:30:01Z</dcterms:modified>
</cp:coreProperties>
</file>